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ภาพรวม" sheetId="1" state="visible" r:id="rId3"/>
    <sheet name="📚 รายละเอียดวิชา" sheetId="2" state="visible" r:id="rId4"/>
    <sheet name="📈 แนวโน้มรายเดือน" sheetId="3" state="visible" r:id="rId5"/>
    <sheet name="🎯 Gap Analysis" sheetId="4" state="visible" r:id="rId6"/>
    <sheet name="📋 ข้อมูลดิบ" sheetId="5" state="visible" r:id="rId7"/>
    <sheet name="💡 คำแนะนำ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<sst xmlns="http://schemas.openxmlformats.org/spreadsheetml/2006/main" count="370" uniqueCount="132">
  <si>
    <t xml:space="preserve">ATLAS — รายงานวิเคราะห์ข้อมูลการเรียนการสอน</t>
  </si>
  <si>
    <t xml:space="preserve">ข้อมูลช่วง: ธันวาคม 2568 – กุมภาพันธ์ 2569  |  วันที่จัดทำ: 6 เมษายน 2569</t>
  </si>
  <si>
    <t xml:space="preserve">140</t>
  </si>
  <si>
    <t xml:space="preserve">4.28</t>
  </si>
  <si>
    <t xml:space="preserve">7</t>
  </si>
  <si>
    <t xml:space="preserve">2</t>
  </si>
  <si>
    <t xml:space="preserve">73.6%</t>
  </si>
  <si>
    <t xml:space="preserve">คาบสอนทั้งหมด</t>
  </si>
  <si>
    <t xml:space="preserve">คะแนนเฉลี่ยรวม (1–5)</t>
  </si>
  <si>
    <t xml:space="preserve">วิชาที่บันทึก</t>
  </si>
  <si>
    <t xml:space="preserve">คาบใน Red Zone</t>
  </si>
  <si>
    <t xml:space="preserve">สัดส่วน Success</t>
  </si>
  <si>
    <t xml:space="preserve">  📚  คะแนน Mastery Score รายวิชา</t>
  </si>
  <si>
    <t xml:space="preserve">วิชา</t>
  </si>
  <si>
    <t xml:space="preserve">ระดับชั้น</t>
  </si>
  <si>
    <t xml:space="preserve">คะแนนเฉลี่ย
(1–5)</t>
  </si>
  <si>
    <t xml:space="preserve">จำนวนคาบ</t>
  </si>
  <si>
    <t xml:space="preserve">K-Gap</t>
  </si>
  <si>
    <t xml:space="preserve">P-Gap</t>
  </si>
  <si>
    <t xml:space="preserve">A-Gap</t>
  </si>
  <si>
    <t xml:space="preserve">Success</t>
  </si>
  <si>
    <t xml:space="preserve">Red
Zone</t>
  </si>
  <si>
    <t xml:space="preserve">สถานะ</t>
  </si>
  <si>
    <t xml:space="preserve">การอ่านและการเขียนเพื่อการสื่อสาร</t>
  </si>
  <si>
    <t xml:space="preserve">ป.1</t>
  </si>
  <si>
    <t xml:space="preserve">⚠️ เฝ้าระวัง</t>
  </si>
  <si>
    <t xml:space="preserve">การคิดคำนวณ</t>
  </si>
  <si>
    <t xml:space="preserve">⚠️ ติดตาม</t>
  </si>
  <si>
    <t xml:space="preserve">คณิตศาสตร์</t>
  </si>
  <si>
    <t xml:space="preserve">ป.4</t>
  </si>
  <si>
    <t xml:space="preserve">🆗 พอใช้</t>
  </si>
  <si>
    <t xml:space="preserve">วิทยาศาสตร์</t>
  </si>
  <si>
    <t xml:space="preserve">ภาษาอังกฤษ</t>
  </si>
  <si>
    <t xml:space="preserve">✅ ดี</t>
  </si>
  <si>
    <t xml:space="preserve">ภาษาอังกฤษ KBW</t>
  </si>
  <si>
    <t xml:space="preserve">ภาษาไทย</t>
  </si>
  <si>
    <t xml:space="preserve">🏆 ยอดเยี่ยม</t>
  </si>
  <si>
    <t xml:space="preserve">  📈  แนวโน้ม Mastery Score รายเดือน</t>
  </si>
  <si>
    <t xml:space="preserve">เดือน</t>
  </si>
  <si>
    <t xml:space="preserve">คะแนนเฉลี่ย</t>
  </si>
  <si>
    <t xml:space="preserve">เปลี่ยนแปลง</t>
  </si>
  <si>
    <t xml:space="preserve">ธ.ค. 2568</t>
  </si>
  <si>
    <t xml:space="preserve">—</t>
  </si>
  <si>
    <t xml:space="preserve">ม.ค. 2569</t>
  </si>
  <si>
    <t xml:space="preserve">ก.พ. 2569</t>
  </si>
  <si>
    <t xml:space="preserve">  🎯  การกระจาย Major Gap (รวมทุกวิชา)</t>
  </si>
  <si>
    <t xml:space="preserve">ประเภท Gap</t>
  </si>
  <si>
    <t xml:space="preserve">สัดส่วน (%)</t>
  </si>
  <si>
    <t xml:space="preserve">Success (สำเร็จ)</t>
  </si>
  <si>
    <t xml:space="preserve">████████████████████</t>
  </si>
  <si>
    <t xml:space="preserve">P-Gap (ทักษะ)</t>
  </si>
  <si>
    <t xml:space="preserve">███</t>
  </si>
  <si>
    <t xml:space="preserve">K-Gap (ความรู้)</t>
  </si>
  <si>
    <t xml:space="preserve">██</t>
  </si>
  <si>
    <t xml:space="preserve">A-Gap (เจตคติ)</t>
  </si>
  <si>
    <t xml:space="preserve">█</t>
  </si>
  <si>
    <t xml:space="preserve">System-Gap</t>
  </si>
  <si>
    <t xml:space="preserve">รายละเอียดคะแนน Mastery Score รายวิชา</t>
  </si>
  <si>
    <t xml:space="preserve">Red Zone</t>
  </si>
  <si>
    <t xml:space="preserve">ข้อมูลกราฟ (คะแนนเฉลี่ย)</t>
  </si>
  <si>
    <r>
      <rPr>
        <sz val="11"/>
        <color theme="1"/>
        <rFont val="DejaVu Sans"/>
        <family val="2"/>
      </rPr>
      <t xml:space="preserve">ภาษาอังกฤษ </t>
    </r>
    <r>
      <rPr>
        <sz val="11"/>
        <color theme="1"/>
        <rFont val="Calibri"/>
        <family val="2"/>
        <charset val="1"/>
      </rPr>
      <t xml:space="preserve">KBW</t>
    </r>
  </si>
  <si>
    <t xml:space="preserve">แนวโน้ม Mastery Score รายเดือน</t>
  </si>
  <si>
    <t xml:space="preserve">เดือน (TH)</t>
  </si>
  <si>
    <t xml:space="preserve">เดือน (EN)</t>
  </si>
  <si>
    <t xml:space="preserve">% เปลี่ยนแปลง</t>
  </si>
  <si>
    <t xml:space="preserve">Dec 2025</t>
  </si>
  <si>
    <t xml:space="preserve">Jan 2026</t>
  </si>
  <si>
    <t xml:space="preserve">Feb 2026</t>
  </si>
  <si>
    <t xml:space="preserve">การวิเคราะห์ Major Gap รายวิชา</t>
  </si>
  <si>
    <t xml:space="preserve">รวม</t>
  </si>
  <si>
    <r>
      <rPr>
        <sz val="11"/>
        <color theme="1"/>
        <rFont val="DejaVu Sans"/>
        <family val="2"/>
      </rPr>
      <t xml:space="preserve">ป</t>
    </r>
    <r>
      <rPr>
        <sz val="11"/>
        <color theme="1"/>
        <rFont val="Calibri"/>
        <family val="2"/>
        <charset val="1"/>
      </rPr>
      <t xml:space="preserve">.1</t>
    </r>
  </si>
  <si>
    <r>
      <rPr>
        <sz val="11"/>
        <color theme="1"/>
        <rFont val="DejaVu Sans"/>
        <family val="2"/>
      </rPr>
      <t xml:space="preserve">ป</t>
    </r>
    <r>
      <rPr>
        <sz val="11"/>
        <color theme="1"/>
        <rFont val="Calibri"/>
        <family val="2"/>
        <charset val="1"/>
      </rPr>
      <t xml:space="preserve">.4</t>
    </r>
  </si>
  <si>
    <t xml:space="preserve">รวมทุกวิชา</t>
  </si>
  <si>
    <t xml:space="preserve">ประเภท</t>
  </si>
  <si>
    <t xml:space="preserve">จำนวน</t>
  </si>
  <si>
    <t xml:space="preserve">ข้อมูลดิบ Teaching Logs (ตัวอย่าง 50 รายการล่าสุด)</t>
  </si>
  <si>
    <t xml:space="preserve">ลำดับ</t>
  </si>
  <si>
    <t xml:space="preserve">วันที่สอน</t>
  </si>
  <si>
    <t xml:space="preserve">ห้อง</t>
  </si>
  <si>
    <t xml:space="preserve">Mastery Score</t>
  </si>
  <si>
    <t xml:space="preserve">Major Gap</t>
  </si>
  <si>
    <t xml:space="preserve">บันทึกเมื่อ</t>
  </si>
  <si>
    <t xml:space="preserve">2026-02-19</t>
  </si>
  <si>
    <t xml:space="preserve">1</t>
  </si>
  <si>
    <t xml:space="preserve">k-gap</t>
  </si>
  <si>
    <t xml:space="preserve">2026-03-05</t>
  </si>
  <si>
    <t xml:space="preserve">2026-02-18</t>
  </si>
  <si>
    <t xml:space="preserve">success</t>
  </si>
  <si>
    <t xml:space="preserve">2026-02-16</t>
  </si>
  <si>
    <t xml:space="preserve">2026-02-03</t>
  </si>
  <si>
    <t xml:space="preserve">p-gap</t>
  </si>
  <si>
    <t xml:space="preserve">2026-02-02</t>
  </si>
  <si>
    <t xml:space="preserve">2026-01-30</t>
  </si>
  <si>
    <t xml:space="preserve">2026-01-29</t>
  </si>
  <si>
    <t xml:space="preserve">2026-01-27</t>
  </si>
  <si>
    <t xml:space="preserve">2026-01-26</t>
  </si>
  <si>
    <t xml:space="preserve">2026-01-23</t>
  </si>
  <si>
    <t xml:space="preserve">2026-02-25</t>
  </si>
  <si>
    <t xml:space="preserve">2026-02-24</t>
  </si>
  <si>
    <t xml:space="preserve">2026-02-23</t>
  </si>
  <si>
    <t xml:space="preserve">2026-02-20</t>
  </si>
  <si>
    <t xml:space="preserve">2025-12-16</t>
  </si>
  <si>
    <t xml:space="preserve">2025-12-15</t>
  </si>
  <si>
    <t xml:space="preserve">2026-01-22</t>
  </si>
  <si>
    <t xml:space="preserve">2026-01-21</t>
  </si>
  <si>
    <t xml:space="preserve">หมายเหตุ: แสดงเพียง 30 รายการตัวอย่าง จากทั้งหมด 140 คาบสอน ในฐานข้อมูล Supabase project: ebyelctqcdhjmqujeskx</t>
  </si>
  <si>
    <t xml:space="preserve">ข้อสังเกตและคำแนะนำจากการวิเคราะห์</t>
  </si>
  <si>
    <t xml:space="preserve">🚨  [เร่งด่วนสูง]  การอ่านและการเขียนเพื่อการสื่อสาร (ป.1)</t>
  </si>
  <si>
    <t xml:space="preserve">คะแนนเฉลี่ยต่ำสุด 3.39/5 มี K-Gap 9 ครั้ง และ 2 คาบ Red Zone</t>
  </si>
  <si>
    <t xml:space="preserve">→ จัดกิจกรรมเสริมความรู้พื้นฐาน (สะกดคำ อ่านออกเสียง)</t>
  </si>
  <si>
    <t xml:space="preserve">→ ตรวจสอบนักเรียนที่ค้าง Remedial</t>
  </si>
  <si>
    <t xml:space="preserve">→ พิจารณา Remedial Program เฉพาะกลุ่ม</t>
  </si>
  <si>
    <t xml:space="preserve">⚠️  [เร่งด่วนกลาง]  การคิดคำนวณ (ป.1)</t>
  </si>
  <si>
    <t xml:space="preserve">P-Gap สูง 9/22 คาบ (40.9%) นักเรียนรู้ทฤษฎีแต่ทำโจทย์ไม่ได้</t>
  </si>
  <si>
    <t xml:space="preserve">→ เพิ่มกิจกรรม Active Learning ให้ฝึกทำโจทย์หลากหลายแบบ</t>
  </si>
  <si>
    <t xml:space="preserve">→ ใช้ Peer Teaching จับคู่นักเรียนเก่ง-อ่อน</t>
  </si>
  <si>
    <t xml:space="preserve">→ เพิ่ม Practice Time ในคาบ</t>
  </si>
  <si>
    <t xml:space="preserve">📊  [ระบบ]  Unit Assessments ยังไม่มีข้อมูล</t>
  </si>
  <si>
    <t xml:space="preserve">ตาราง unit_assessments = 0 records ครูยังไม่ได้บันทึกสมรรถนะรายบุคคล</t>
  </si>
  <si>
    <t xml:space="preserve">→ แนะนำให้ครูเริ่มกรอกข้อมูลผ่านปุ่ม 'บันทึกสมรรถนะ' ใน CompetencyReport</t>
  </si>
  <si>
    <t xml:space="preserve">→ ข้อมูลนี้จำเป็นสำหรับการวิเคราะห์นักเรียนเสี่ยง</t>
  </si>
  <si>
    <t xml:space="preserve">→ เมื่อมีข้อมูลแล้ว ระบบ ATLAS จะช่วยระบุนักเรียนที่ต้องดูแลพิเศษได้</t>
  </si>
  <si>
    <t xml:space="preserve">📈  [เชิงบวก]  แนวโน้มคะแนนดีขึ้นต่อเนื่อง</t>
  </si>
  <si>
    <t xml:space="preserve">คะแนนเฉลี่ยเพิ่มขึ้นทุกเดือน: ธ.ค. 4.00 → ม.ค. 4.20 → ก.พ. 4.44</t>
  </si>
  <si>
    <t xml:space="preserve">→ สะท้อนว่าการบันทึก Teaching Log ช่วยให้ครูสะท้อนการสอนได้ดีขึ้น</t>
  </si>
  <si>
    <t xml:space="preserve">→ ภาษาไทย ป.4 เป็น Best Practice ที่ควรนำไปแชร์กับครูท่านอื่น</t>
  </si>
  <si>
    <t xml:space="preserve">→ ควรขยายการใช้งานระบบให้ครูทุกคนเข้าร่วม</t>
  </si>
  <si>
    <t xml:space="preserve">👥  [การขยายระบบ]  ปัจจุบันมีผู้ใช้งานเพียง 1 account</t>
  </si>
  <si>
    <t xml:space="preserve">ข้อมูลทั้งหมดมาจาก teacher_id เดียว</t>
  </si>
  <si>
    <t xml:space="preserve">→ เชิญชวนครูท่านอื่นสมัครและบันทึกข้อมูล</t>
  </si>
  <si>
    <t xml:space="preserve">→ เมื่อมีข้อมูลหลายครู Executive Dashboard จะแสดงภาพรวมโรงเรียนได้</t>
  </si>
  <si>
    <t xml:space="preserve">→ Trend Alert จะทำงานได้เมื่อมีข้อมูลครบถ้วนมากขึ้น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</si>
</sst>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\+0.00;\-0.00;0.00"/>
    <numFmt numFmtId="167" formatCode="0.0"/>
    <numFmt numFmtId="168" formatCode="\+0.00;\-0.00;\-"/>
    <numFmt numFmtId="169" formatCode="\+0.0%;\-0.0%;\-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90CAF9"/>
      <name val="Arial"/>
      <family val="0"/>
      <charset val="1"/>
    </font>
    <font>
      <b val="true"/>
      <sz val="22"/>
      <color rgb="FF1565C0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22"/>
      <color rgb="FFE67E22"/>
      <name val="Arial"/>
      <family val="0"/>
      <charset val="1"/>
    </font>
    <font>
      <b val="true"/>
      <sz val="22"/>
      <color rgb="FFE74C3C"/>
      <name val="Arial"/>
      <family val="0"/>
      <charset val="1"/>
    </font>
    <font>
      <sz val="9"/>
      <color rgb="FF607D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00838F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sz val="10"/>
      <name val="Arial"/>
      <family val="0"/>
      <charset val="1"/>
    </font>
    <font>
      <sz val="8"/>
      <color rgb="FF27AE60"/>
      <name val="Arial"/>
      <family val="0"/>
      <charset val="1"/>
    </font>
    <font>
      <b val="true"/>
      <sz val="10"/>
      <color rgb="FF8E24AA"/>
      <name val="Arial"/>
      <family val="0"/>
      <charset val="1"/>
    </font>
    <font>
      <sz val="8"/>
      <color rgb="FF8E24AA"/>
      <name val="Arial"/>
      <family val="0"/>
      <charset val="1"/>
    </font>
    <font>
      <sz val="8"/>
      <color rgb="FFE67E22"/>
      <name val="Arial"/>
      <family val="0"/>
      <charset val="1"/>
    </font>
    <font>
      <sz val="8"/>
      <color rgb="FFF9A825"/>
      <name val="Arial"/>
      <family val="0"/>
      <charset val="1"/>
    </font>
    <font>
      <b val="true"/>
      <sz val="10"/>
      <color rgb="FF607D8B"/>
      <name val="Arial"/>
      <family val="0"/>
      <charset val="1"/>
    </font>
    <font>
      <sz val="8"/>
      <color rgb="FF607D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9"/>
      <name val="Arial"/>
      <family val="0"/>
      <charset val="1"/>
    </font>
    <font>
      <sz val="11"/>
      <color theme="1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2C3E5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07D8B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b val="true"/>
      <sz val="11"/>
      <color rgb="FF607D8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1565C0"/>
        <bgColor rgb="FF00838F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ECEFF1"/>
      </patternFill>
    </fill>
    <fill>
      <patternFill patternType="solid">
        <fgColor rgb="FFFEF3E2"/>
        <bgColor rgb="FFFDECEA"/>
      </patternFill>
    </fill>
    <fill>
      <patternFill patternType="solid">
        <fgColor rgb="FFFDECEA"/>
        <bgColor rgb="FFFEF3E2"/>
      </patternFill>
    </fill>
    <fill>
      <patternFill patternType="solid">
        <fgColor rgb="FFFFFFFF"/>
        <bgColor rgb="FFF9F9F9"/>
      </patternFill>
    </fill>
    <fill>
      <patternFill patternType="solid">
        <fgColor rgb="FFF3E5F5"/>
        <bgColor rgb="FFFDECEA"/>
      </patternFill>
    </fill>
    <fill>
      <patternFill patternType="solid">
        <fgColor rgb="FFECEFF1"/>
        <bgColor rgb="FFE8F5E9"/>
      </patternFill>
    </fill>
    <fill>
      <patternFill patternType="solid">
        <fgColor rgb="FFFFFDE7"/>
        <bgColor rgb="FFF9F9F9"/>
      </patternFill>
    </fill>
    <fill>
      <patternFill patternType="solid">
        <fgColor rgb="FFE0F7FA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3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BDBDBD"/>
      <rgbColor rgb="FF878787"/>
      <rgbColor rgb="FF9999FF"/>
      <rgbColor rgb="FF8E24AA"/>
      <rgbColor rgb="FFFFFDE7"/>
      <rgbColor rgb="FFE0F7FA"/>
      <rgbColor rgb="FF660066"/>
      <rgbColor rgb="FFE74C3C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EF3E2"/>
      <rgbColor rgb="FF90CAF9"/>
      <rgbColor rgb="FFF3E5F5"/>
      <rgbColor rgb="FFECEFF1"/>
      <rgbColor rgb="FFFDECEA"/>
      <rgbColor rgb="FF4F81BD"/>
      <rgbColor rgb="FF4BACC6"/>
      <rgbColor rgb="FF9BBB59"/>
      <rgbColor rgb="FFFFCC00"/>
      <rgbColor rgb="FFF9A825"/>
      <rgbColor rgb="FFE67E22"/>
      <rgbColor rgb="FF8064A2"/>
      <rgbColor rgb="FF607D8B"/>
      <rgbColor rgb="FF1A237E"/>
      <rgbColor rgb="FF27AE60"/>
      <rgbColor rgb="FF003300"/>
      <rgbColor rgb="FF333300"/>
      <rgbColor rgb="FF993300"/>
      <rgbColor rgb="FFC0504D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Average Mastery Score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'📚 รายละเอียดวิชา'!B14</c:f>
              <c:strCache>
                <c:ptCount val="1"/>
                <c:pt idx="0">
                  <c:v>คะแนนเฉลี่ย</c:v>
                </c:pt>
              </c:strCache>
            </c:strRef>
          </c:tx>
          <c:spPr>
            <a:solidFill>
              <a:srgbClr val="1565C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'📚 รายละเอียดวิชา'!$A$15:$A$21</c:f>
              <c:strCache>
                <c:ptCount val="7"/>
                <c:pt idx="0">
                  <c:v>การอ่านและการเขียนเพื่อการสื่อสาร</c:v>
                </c:pt>
                <c:pt idx="1">
                  <c:v>การคิดคำนวณ</c:v>
                </c:pt>
                <c:pt idx="2">
                  <c:v>คณิตศาสตร์</c:v>
                </c:pt>
                <c:pt idx="3">
                  <c:v>วิทยาศาสตร์</c:v>
                </c:pt>
                <c:pt idx="4">
                  <c:v>ภาษาอังกฤษ</c:v>
                </c:pt>
                <c:pt idx="5">
                  <c:v>ภาษาอังกฤษ KBW</c:v>
                </c:pt>
                <c:pt idx="6">
                  <c:v>ภาษาไทย</c:v>
                </c:pt>
              </c:strCache>
            </c:strRef>
          </c:cat>
          <c:val>
            <c:numRef>
              <c:f>'📚 รายละเอียดวิชา'!$B$15:$B$21</c:f>
              <c:numCache>
                <c:formatCode>General</c:formatCode>
                <c:ptCount val="7"/>
                <c:pt idx="0">
                  <c:v>3.39</c:v>
                </c:pt>
                <c:pt idx="1">
                  <c:v>3.64</c:v>
                </c:pt>
                <c:pt idx="2">
                  <c:v>4.33</c:v>
                </c:pt>
                <c:pt idx="3">
                  <c:v>4.41</c:v>
                </c:pt>
                <c:pt idx="4">
                  <c:v>4.53</c:v>
                </c:pt>
                <c:pt idx="5">
                  <c:v>4.57</c:v>
                </c:pt>
                <c:pt idx="6">
                  <c:v>4.9</c:v>
                </c:pt>
              </c:numCache>
            </c:numRef>
          </c:val>
        </c:ser>
        <c:gapWidth val="150"/>
        <c:overlap val="0"/>
        <c:axId val="23995713"/>
        <c:axId val="56292520"/>
      </c:barChart>
      <c:catAx>
        <c:axId val="23995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292520"/>
        <c:crosses val="autoZero"/>
        <c:auto val="1"/>
        <c:lblAlgn val="ctr"/>
        <c:lblOffset val="100"/>
        <c:noMultiLvlLbl val="0"/>
      </c:catAx>
      <c:valAx>
        <c:axId val="562925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957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Mastery Score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แนวโน้มรายเดือน'!C3</c:f>
              <c:strCache>
                <c:ptCount val="1"/>
                <c:pt idx="0">
                  <c:v>คะแนนเฉลี่ย</c:v>
                </c:pt>
              </c:strCache>
            </c:strRef>
          </c:tx>
          <c:spPr>
            <a:solidFill>
              <a:srgbClr val="1565C0"/>
            </a:solidFill>
            <a:ln w="24840">
              <a:solidFill>
                <a:srgbClr val="1565C0"/>
              </a:solidFill>
              <a:round/>
            </a:ln>
          </c:spPr>
          <c:marker>
            <c:symbol val="circle"/>
            <c:size val="8"/>
            <c:spPr>
              <a:solidFill>
                <a:srgbClr val="1565C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แนวโน้มรายเดือน'!$B$4:$B$6</c:f>
              <c:strCache>
                <c:ptCount val="3"/>
                <c:pt idx="0">
                  <c:v>Dec 2025</c:v>
                </c:pt>
                <c:pt idx="1">
                  <c:v>Jan 2026</c:v>
                </c:pt>
                <c:pt idx="2">
                  <c:v>Feb 2026</c:v>
                </c:pt>
              </c:strCache>
            </c:strRef>
          </c:cat>
          <c:val>
            <c:numRef>
              <c:f>'📈 แนวโน้มรายเดือน'!$C$4:$C$6</c:f>
              <c:numCache>
                <c:formatCode>0.00</c:formatCode>
                <c:ptCount val="3"/>
                <c:pt idx="0">
                  <c:v>4</c:v>
                </c:pt>
                <c:pt idx="1">
                  <c:v>4.2</c:v>
                </c:pt>
                <c:pt idx="2">
                  <c:v>4.44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759335"/>
        <c:axId val="36352037"/>
      </c:lineChart>
      <c:catAx>
        <c:axId val="137593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52037"/>
        <c:crosses val="autoZero"/>
        <c:auto val="1"/>
        <c:lblAlgn val="ctr"/>
        <c:lblOffset val="100"/>
        <c:noMultiLvlLbl val="0"/>
      </c:catAx>
      <c:valAx>
        <c:axId val="36352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Mastery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7593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Gap Distribution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'🎯 Gap Analysis'!B14</c:f>
              <c:strCache>
                <c:ptCount val="1"/>
                <c:pt idx="0">
                  <c:v>จำนวน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'🎯 Gap Analysis'!$A$15:$A$19</c:f>
              <c:strCache>
                <c:ptCount val="5"/>
                <c:pt idx="0">
                  <c:v>Success</c:v>
                </c:pt>
                <c:pt idx="1">
                  <c:v>P-Gap</c:v>
                </c:pt>
                <c:pt idx="2">
                  <c:v>K-Gap</c:v>
                </c:pt>
                <c:pt idx="3">
                  <c:v>A-Gap</c:v>
                </c:pt>
                <c:pt idx="4">
                  <c:v>System-Gap</c:v>
                </c:pt>
              </c:strCache>
            </c:strRef>
          </c:cat>
          <c:val>
            <c:numRef>
              <c:f>'🎯 Gap Analysis'!$B$15:$B$19</c:f>
              <c:numCache>
                <c:formatCode>General</c:formatCode>
                <c:ptCount val="5"/>
                <c:pt idx="0">
                  <c:v>103</c:v>
                </c:pt>
                <c:pt idx="1">
                  <c:v>17</c:v>
                </c:pt>
                <c:pt idx="2">
                  <c:v>13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14</xdr:col>
      <xdr:colOff>469440</xdr:colOff>
      <xdr:row>24</xdr:row>
      <xdr:rowOff>41040</xdr:rowOff>
    </xdr:to>
    <xdr:graphicFrame>
      <xdr:nvGraphicFramePr>
        <xdr:cNvPr id="1" name="Chart 1"/>
        <xdr:cNvGraphicFramePr/>
      </xdr:nvGraphicFramePr>
      <xdr:xfrm>
        <a:off x="4229280" y="85716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8</xdr:col>
      <xdr:colOff>55800</xdr:colOff>
      <xdr:row>29</xdr:row>
      <xdr:rowOff>128520</xdr:rowOff>
    </xdr:to>
    <xdr:graphicFrame>
      <xdr:nvGraphicFramePr>
        <xdr:cNvPr id="2" name="Chart 1"/>
        <xdr:cNvGraphicFramePr/>
      </xdr:nvGraphicFramePr>
      <xdr:xfrm>
        <a:off x="0" y="187632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11</xdr:col>
      <xdr:colOff>259920</xdr:colOff>
      <xdr:row>22</xdr:row>
      <xdr:rowOff>14400</xdr:rowOff>
    </xdr:to>
    <xdr:graphicFrame>
      <xdr:nvGraphicFramePr>
        <xdr:cNvPr id="3" name="Chart 1"/>
        <xdr:cNvGraphicFramePr/>
      </xdr:nvGraphicFramePr>
      <xdr:xfrm>
        <a:off x="4229280" y="8571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37E"/>
    <pageSetUpPr fitToPage="fals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9" min="5" style="0" width="9"/>
    <col collapsed="false" customWidth="true" hidden="false" outlineLevel="0" max="10" min="10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8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9.75" hidden="false" customHeight="true" outlineLevel="0" collapsed="false"/>
    <row r="6" customFormat="false" ht="34.5" hidden="false" customHeight="true" outlineLevel="0" collapsed="false">
      <c r="A6" s="3" t="s">
        <v>2</v>
      </c>
      <c r="B6" s="3"/>
      <c r="C6" s="4" t="s">
        <v>3</v>
      </c>
      <c r="D6" s="4"/>
      <c r="E6" s="5" t="s">
        <v>4</v>
      </c>
      <c r="F6" s="5"/>
      <c r="G6" s="6" t="s">
        <v>5</v>
      </c>
      <c r="H6" s="6"/>
      <c r="I6" s="3" t="s">
        <v>6</v>
      </c>
      <c r="J6" s="3"/>
    </row>
    <row r="7" customFormat="false" ht="34.5" hidden="false" customHeight="true" outlineLevel="0" collapsed="false">
      <c r="A7" s="3"/>
      <c r="B7" s="3"/>
      <c r="C7" s="4"/>
      <c r="D7" s="4"/>
      <c r="E7" s="5"/>
      <c r="F7" s="5"/>
      <c r="G7" s="6"/>
      <c r="H7" s="6"/>
      <c r="I7" s="3"/>
      <c r="J7" s="3"/>
    </row>
    <row r="8" customFormat="false" ht="18" hidden="false" customHeight="true" outlineLevel="0" collapsed="false">
      <c r="A8" s="7" t="s">
        <v>7</v>
      </c>
      <c r="B8" s="7"/>
      <c r="C8" s="8" t="s">
        <v>8</v>
      </c>
      <c r="D8" s="8"/>
      <c r="E8" s="9" t="s">
        <v>9</v>
      </c>
      <c r="F8" s="9"/>
      <c r="G8" s="10" t="s">
        <v>10</v>
      </c>
      <c r="H8" s="10"/>
      <c r="I8" s="7" t="s">
        <v>11</v>
      </c>
      <c r="J8" s="7"/>
    </row>
    <row r="9" customFormat="false" ht="9.75" hidden="false" customHeight="true" outlineLevel="0" collapsed="false"/>
    <row r="10" customFormat="false" ht="25.5" hidden="false" customHeight="true" outlineLevel="0" collapsed="false">
      <c r="A10" s="11" t="s">
        <v>12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30" hidden="false" customHeight="true" outlineLevel="0" collapsed="false">
      <c r="A11" s="12" t="s">
        <v>13</v>
      </c>
      <c r="B11" s="12" t="s">
        <v>14</v>
      </c>
      <c r="C11" s="12" t="s">
        <v>15</v>
      </c>
      <c r="D11" s="12" t="s">
        <v>16</v>
      </c>
      <c r="E11" s="12" t="s">
        <v>17</v>
      </c>
      <c r="F11" s="12" t="s">
        <v>18</v>
      </c>
      <c r="G11" s="12" t="s">
        <v>19</v>
      </c>
      <c r="H11" s="12" t="s">
        <v>20</v>
      </c>
      <c r="I11" s="12" t="s">
        <v>21</v>
      </c>
      <c r="J11" s="12" t="s">
        <v>22</v>
      </c>
    </row>
    <row r="12" customFormat="false" ht="19.5" hidden="false" customHeight="true" outlineLevel="0" collapsed="false">
      <c r="A12" s="13" t="s">
        <v>23</v>
      </c>
      <c r="B12" s="14" t="s">
        <v>24</v>
      </c>
      <c r="C12" s="15" t="n">
        <v>3.39</v>
      </c>
      <c r="D12" s="14" t="n">
        <v>23</v>
      </c>
      <c r="E12" s="16" t="n">
        <v>9</v>
      </c>
      <c r="F12" s="17" t="n">
        <v>4</v>
      </c>
      <c r="G12" s="14" t="n">
        <v>2</v>
      </c>
      <c r="H12" s="14" t="n">
        <v>8</v>
      </c>
      <c r="I12" s="18" t="n">
        <v>2</v>
      </c>
      <c r="J12" s="14" t="s">
        <v>25</v>
      </c>
    </row>
    <row r="13" customFormat="false" ht="19.5" hidden="false" customHeight="true" outlineLevel="0" collapsed="false">
      <c r="A13" s="19" t="s">
        <v>26</v>
      </c>
      <c r="B13" s="20" t="s">
        <v>24</v>
      </c>
      <c r="C13" s="21" t="n">
        <v>3.64</v>
      </c>
      <c r="D13" s="20" t="n">
        <v>22</v>
      </c>
      <c r="E13" s="16" t="n">
        <v>2</v>
      </c>
      <c r="F13" s="17" t="n">
        <v>9</v>
      </c>
      <c r="G13" s="20" t="n">
        <v>3</v>
      </c>
      <c r="H13" s="20" t="n">
        <v>8</v>
      </c>
      <c r="I13" s="20" t="n">
        <v>0</v>
      </c>
      <c r="J13" s="20" t="s">
        <v>27</v>
      </c>
    </row>
    <row r="14" customFormat="false" ht="19.5" hidden="false" customHeight="true" outlineLevel="0" collapsed="false">
      <c r="A14" s="13" t="s">
        <v>28</v>
      </c>
      <c r="B14" s="14" t="s">
        <v>29</v>
      </c>
      <c r="C14" s="22" t="n">
        <v>4.33</v>
      </c>
      <c r="D14" s="14" t="n">
        <v>21</v>
      </c>
      <c r="E14" s="16" t="n">
        <v>1</v>
      </c>
      <c r="F14" s="14" t="n">
        <v>0</v>
      </c>
      <c r="G14" s="14" t="n">
        <v>0</v>
      </c>
      <c r="H14" s="14" t="n">
        <v>20</v>
      </c>
      <c r="I14" s="14" t="n">
        <v>0</v>
      </c>
      <c r="J14" s="14" t="s">
        <v>30</v>
      </c>
    </row>
    <row r="15" customFormat="false" ht="19.5" hidden="false" customHeight="true" outlineLevel="0" collapsed="false">
      <c r="A15" s="19" t="s">
        <v>31</v>
      </c>
      <c r="B15" s="20" t="s">
        <v>29</v>
      </c>
      <c r="C15" s="22" t="n">
        <v>4.41</v>
      </c>
      <c r="D15" s="20" t="n">
        <v>17</v>
      </c>
      <c r="E15" s="20" t="n">
        <v>0</v>
      </c>
      <c r="F15" s="20" t="n">
        <v>0</v>
      </c>
      <c r="G15" s="20" t="n">
        <v>0</v>
      </c>
      <c r="H15" s="20" t="n">
        <v>17</v>
      </c>
      <c r="I15" s="20" t="n">
        <v>0</v>
      </c>
      <c r="J15" s="20" t="s">
        <v>30</v>
      </c>
    </row>
    <row r="16" customFormat="false" ht="19.5" hidden="false" customHeight="true" outlineLevel="0" collapsed="false">
      <c r="A16" s="13" t="s">
        <v>32</v>
      </c>
      <c r="B16" s="14" t="s">
        <v>29</v>
      </c>
      <c r="C16" s="23" t="n">
        <v>4.53</v>
      </c>
      <c r="D16" s="14" t="n">
        <v>15</v>
      </c>
      <c r="E16" s="16" t="n">
        <v>1</v>
      </c>
      <c r="F16" s="17" t="n">
        <v>1</v>
      </c>
      <c r="G16" s="14" t="n">
        <v>1</v>
      </c>
      <c r="H16" s="14" t="n">
        <v>12</v>
      </c>
      <c r="I16" s="14" t="n">
        <v>0</v>
      </c>
      <c r="J16" s="14" t="s">
        <v>33</v>
      </c>
    </row>
    <row r="17" customFormat="false" ht="19.5" hidden="false" customHeight="true" outlineLevel="0" collapsed="false">
      <c r="A17" s="19" t="s">
        <v>34</v>
      </c>
      <c r="B17" s="20" t="s">
        <v>29</v>
      </c>
      <c r="C17" s="23" t="n">
        <v>4.57</v>
      </c>
      <c r="D17" s="20" t="n">
        <v>21</v>
      </c>
      <c r="E17" s="20" t="n">
        <v>0</v>
      </c>
      <c r="F17" s="17" t="n">
        <v>3</v>
      </c>
      <c r="G17" s="20" t="n">
        <v>0</v>
      </c>
      <c r="H17" s="20" t="n">
        <v>18</v>
      </c>
      <c r="I17" s="20" t="n">
        <v>0</v>
      </c>
      <c r="J17" s="20" t="s">
        <v>33</v>
      </c>
    </row>
    <row r="18" customFormat="false" ht="19.5" hidden="false" customHeight="true" outlineLevel="0" collapsed="false">
      <c r="A18" s="13" t="s">
        <v>35</v>
      </c>
      <c r="B18" s="14" t="s">
        <v>29</v>
      </c>
      <c r="C18" s="24" t="n">
        <v>4.9</v>
      </c>
      <c r="D18" s="14" t="n">
        <v>21</v>
      </c>
      <c r="E18" s="14" t="n">
        <v>0</v>
      </c>
      <c r="F18" s="14" t="n">
        <v>0</v>
      </c>
      <c r="G18" s="14" t="n">
        <v>0</v>
      </c>
      <c r="H18" s="14" t="n">
        <v>20</v>
      </c>
      <c r="I18" s="14" t="n">
        <v>0</v>
      </c>
      <c r="J18" s="14" t="s">
        <v>36</v>
      </c>
    </row>
    <row r="19" customFormat="false" ht="9.75" hidden="false" customHeight="true" outlineLevel="0" collapsed="false"/>
    <row r="20" customFormat="false" ht="25.5" hidden="false" customHeight="true" outlineLevel="0" collapsed="false">
      <c r="A20" s="11" t="s">
        <v>37</v>
      </c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21.75" hidden="false" customHeight="true" outlineLevel="0" collapsed="false">
      <c r="A21" s="25" t="s">
        <v>38</v>
      </c>
      <c r="B21" s="25" t="s">
        <v>39</v>
      </c>
      <c r="C21" s="25" t="s">
        <v>16</v>
      </c>
      <c r="D21" s="25" t="s">
        <v>40</v>
      </c>
    </row>
    <row r="22" customFormat="false" ht="19.5" hidden="false" customHeight="true" outlineLevel="0" collapsed="false">
      <c r="A22" s="13" t="s">
        <v>41</v>
      </c>
      <c r="B22" s="26" t="n">
        <v>4</v>
      </c>
      <c r="C22" s="14" t="n">
        <v>39</v>
      </c>
      <c r="D22" s="14" t="s">
        <v>42</v>
      </c>
    </row>
    <row r="23" customFormat="false" ht="19.5" hidden="false" customHeight="true" outlineLevel="0" collapsed="false">
      <c r="A23" s="19" t="s">
        <v>43</v>
      </c>
      <c r="B23" s="26" t="n">
        <v>4.2</v>
      </c>
      <c r="C23" s="20" t="n">
        <v>56</v>
      </c>
      <c r="D23" s="27" t="n">
        <f aca="false">B23-B22</f>
        <v>0.2</v>
      </c>
    </row>
    <row r="24" customFormat="false" ht="19.5" hidden="false" customHeight="true" outlineLevel="0" collapsed="false">
      <c r="A24" s="13" t="s">
        <v>44</v>
      </c>
      <c r="B24" s="26" t="n">
        <v>4.44</v>
      </c>
      <c r="C24" s="14" t="n">
        <v>45</v>
      </c>
      <c r="D24" s="27" t="n">
        <f aca="false">B24-B23</f>
        <v>0.24</v>
      </c>
    </row>
    <row r="25" customFormat="false" ht="9.75" hidden="false" customHeight="true" outlineLevel="0" collapsed="false"/>
    <row r="26" customFormat="false" ht="25.5" hidden="false" customHeight="true" outlineLevel="0" collapsed="false">
      <c r="A26" s="11" t="s">
        <v>45</v>
      </c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21.75" hidden="false" customHeight="true" outlineLevel="0" collapsed="false">
      <c r="A27" s="25" t="s">
        <v>46</v>
      </c>
      <c r="B27" s="25" t="s">
        <v>16</v>
      </c>
      <c r="C27" s="25" t="s">
        <v>47</v>
      </c>
      <c r="D27" s="25"/>
    </row>
    <row r="28" customFormat="false" ht="19.5" hidden="false" customHeight="true" outlineLevel="0" collapsed="false">
      <c r="A28" s="28" t="s">
        <v>48</v>
      </c>
      <c r="B28" s="29" t="n">
        <v>103</v>
      </c>
      <c r="C28" s="30" t="n">
        <f aca="false">B28/140*100</f>
        <v>73.5714285714286</v>
      </c>
      <c r="D28" s="31" t="s">
        <v>49</v>
      </c>
    </row>
    <row r="29" customFormat="false" ht="19.5" hidden="false" customHeight="true" outlineLevel="0" collapsed="false">
      <c r="A29" s="32" t="s">
        <v>50</v>
      </c>
      <c r="B29" s="33" t="n">
        <v>17</v>
      </c>
      <c r="C29" s="34" t="n">
        <f aca="false">B29/140*100</f>
        <v>12.1428571428571</v>
      </c>
      <c r="D29" s="35" t="s">
        <v>51</v>
      </c>
    </row>
    <row r="30" customFormat="false" ht="19.5" hidden="false" customHeight="true" outlineLevel="0" collapsed="false">
      <c r="A30" s="36" t="s">
        <v>52</v>
      </c>
      <c r="B30" s="37" t="n">
        <v>13</v>
      </c>
      <c r="C30" s="38" t="n">
        <f aca="false">B30/140*100</f>
        <v>9.28571428571429</v>
      </c>
      <c r="D30" s="39" t="s">
        <v>53</v>
      </c>
    </row>
    <row r="31" customFormat="false" ht="19.5" hidden="false" customHeight="true" outlineLevel="0" collapsed="false">
      <c r="A31" s="40" t="s">
        <v>54</v>
      </c>
      <c r="B31" s="41" t="n">
        <v>6</v>
      </c>
      <c r="C31" s="42" t="n">
        <f aca="false">B31/140*100</f>
        <v>4.28571428571429</v>
      </c>
      <c r="D31" s="43" t="s">
        <v>55</v>
      </c>
    </row>
    <row r="32" customFormat="false" ht="19.5" hidden="false" customHeight="true" outlineLevel="0" collapsed="false">
      <c r="A32" s="44" t="s">
        <v>56</v>
      </c>
      <c r="B32" s="45" t="n">
        <v>1</v>
      </c>
      <c r="C32" s="46" t="n">
        <f aca="false">B32/140*100</f>
        <v>0.714285714285714</v>
      </c>
      <c r="D32" s="47"/>
    </row>
  </sheetData>
  <mergeCells count="15">
    <mergeCell ref="A1:J3"/>
    <mergeCell ref="A4:J4"/>
    <mergeCell ref="A6:B7"/>
    <mergeCell ref="C6:D7"/>
    <mergeCell ref="E6:F7"/>
    <mergeCell ref="G6:H7"/>
    <mergeCell ref="I6:J7"/>
    <mergeCell ref="A8:B8"/>
    <mergeCell ref="C8:D8"/>
    <mergeCell ref="E8:F8"/>
    <mergeCell ref="G8:H8"/>
    <mergeCell ref="I8:J8"/>
    <mergeCell ref="A10:J10"/>
    <mergeCell ref="A20:J20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9" min="5" style="0" width="9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48" t="s">
        <v>57</v>
      </c>
      <c r="B1" s="48"/>
      <c r="C1" s="48"/>
      <c r="D1" s="48"/>
      <c r="E1" s="48"/>
      <c r="F1" s="48"/>
      <c r="G1" s="48"/>
      <c r="H1" s="48"/>
    </row>
    <row r="2" customFormat="false" ht="21.75" hidden="false" customHeight="true" outlineLevel="0" collapsed="false">
      <c r="A2" s="48"/>
      <c r="B2" s="48"/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A3" s="49" t="s">
        <v>13</v>
      </c>
      <c r="B3" s="49" t="s">
        <v>14</v>
      </c>
      <c r="C3" s="49" t="s">
        <v>39</v>
      </c>
      <c r="D3" s="49" t="s">
        <v>16</v>
      </c>
      <c r="E3" s="49" t="s">
        <v>17</v>
      </c>
      <c r="F3" s="49" t="s">
        <v>18</v>
      </c>
      <c r="G3" s="49" t="s">
        <v>19</v>
      </c>
      <c r="H3" s="49" t="s">
        <v>20</v>
      </c>
      <c r="I3" s="49" t="s">
        <v>58</v>
      </c>
      <c r="J3" s="49" t="s">
        <v>22</v>
      </c>
    </row>
    <row r="4" customFormat="false" ht="21.75" hidden="false" customHeight="true" outlineLevel="0" collapsed="false">
      <c r="A4" s="13" t="s">
        <v>23</v>
      </c>
      <c r="B4" s="14" t="s">
        <v>24</v>
      </c>
      <c r="C4" s="15" t="n">
        <v>3.39</v>
      </c>
      <c r="D4" s="14" t="n">
        <v>23</v>
      </c>
      <c r="E4" s="14" t="n">
        <v>9</v>
      </c>
      <c r="F4" s="14" t="n">
        <v>4</v>
      </c>
      <c r="G4" s="14" t="n">
        <v>2</v>
      </c>
      <c r="H4" s="14" t="n">
        <v>8</v>
      </c>
      <c r="I4" s="14" t="n">
        <v>2</v>
      </c>
      <c r="J4" s="14" t="s">
        <v>25</v>
      </c>
    </row>
    <row r="5" customFormat="false" ht="21.75" hidden="false" customHeight="true" outlineLevel="0" collapsed="false">
      <c r="A5" s="19" t="s">
        <v>26</v>
      </c>
      <c r="B5" s="20" t="s">
        <v>24</v>
      </c>
      <c r="C5" s="21" t="n">
        <v>3.64</v>
      </c>
      <c r="D5" s="20" t="n">
        <v>22</v>
      </c>
      <c r="E5" s="20" t="n">
        <v>2</v>
      </c>
      <c r="F5" s="20" t="n">
        <v>9</v>
      </c>
      <c r="G5" s="20" t="n">
        <v>3</v>
      </c>
      <c r="H5" s="20" t="n">
        <v>8</v>
      </c>
      <c r="I5" s="20" t="n">
        <v>0</v>
      </c>
      <c r="J5" s="20" t="s">
        <v>27</v>
      </c>
    </row>
    <row r="6" customFormat="false" ht="21.75" hidden="false" customHeight="true" outlineLevel="0" collapsed="false">
      <c r="A6" s="13" t="s">
        <v>28</v>
      </c>
      <c r="B6" s="14" t="s">
        <v>29</v>
      </c>
      <c r="C6" s="22" t="n">
        <v>4.33</v>
      </c>
      <c r="D6" s="14" t="n">
        <v>21</v>
      </c>
      <c r="E6" s="14" t="n">
        <v>1</v>
      </c>
      <c r="F6" s="14" t="n">
        <v>0</v>
      </c>
      <c r="G6" s="14" t="n">
        <v>0</v>
      </c>
      <c r="H6" s="14" t="n">
        <v>20</v>
      </c>
      <c r="I6" s="14" t="n">
        <v>0</v>
      </c>
      <c r="J6" s="14" t="s">
        <v>30</v>
      </c>
    </row>
    <row r="7" customFormat="false" ht="21.75" hidden="false" customHeight="true" outlineLevel="0" collapsed="false">
      <c r="A7" s="19" t="s">
        <v>31</v>
      </c>
      <c r="B7" s="20" t="s">
        <v>29</v>
      </c>
      <c r="C7" s="22" t="n">
        <v>4.41</v>
      </c>
      <c r="D7" s="20" t="n">
        <v>17</v>
      </c>
      <c r="E7" s="20" t="n">
        <v>0</v>
      </c>
      <c r="F7" s="20" t="n">
        <v>0</v>
      </c>
      <c r="G7" s="20" t="n">
        <v>0</v>
      </c>
      <c r="H7" s="20" t="n">
        <v>17</v>
      </c>
      <c r="I7" s="20" t="n">
        <v>0</v>
      </c>
      <c r="J7" s="20" t="s">
        <v>30</v>
      </c>
    </row>
    <row r="8" customFormat="false" ht="21.75" hidden="false" customHeight="true" outlineLevel="0" collapsed="false">
      <c r="A8" s="13" t="s">
        <v>32</v>
      </c>
      <c r="B8" s="14" t="s">
        <v>29</v>
      </c>
      <c r="C8" s="23" t="n">
        <v>4.53</v>
      </c>
      <c r="D8" s="14" t="n">
        <v>15</v>
      </c>
      <c r="E8" s="14" t="n">
        <v>1</v>
      </c>
      <c r="F8" s="14" t="n">
        <v>1</v>
      </c>
      <c r="G8" s="14" t="n">
        <v>1</v>
      </c>
      <c r="H8" s="14" t="n">
        <v>12</v>
      </c>
      <c r="I8" s="14" t="n">
        <v>0</v>
      </c>
      <c r="J8" s="14" t="s">
        <v>33</v>
      </c>
    </row>
    <row r="9" customFormat="false" ht="21.75" hidden="false" customHeight="true" outlineLevel="0" collapsed="false">
      <c r="A9" s="19" t="s">
        <v>34</v>
      </c>
      <c r="B9" s="20" t="s">
        <v>29</v>
      </c>
      <c r="C9" s="23" t="n">
        <v>4.57</v>
      </c>
      <c r="D9" s="20" t="n">
        <v>21</v>
      </c>
      <c r="E9" s="20" t="n">
        <v>0</v>
      </c>
      <c r="F9" s="20" t="n">
        <v>3</v>
      </c>
      <c r="G9" s="20" t="n">
        <v>0</v>
      </c>
      <c r="H9" s="20" t="n">
        <v>18</v>
      </c>
      <c r="I9" s="20" t="n">
        <v>0</v>
      </c>
      <c r="J9" s="20" t="s">
        <v>33</v>
      </c>
    </row>
    <row r="10" customFormat="false" ht="21.75" hidden="false" customHeight="true" outlineLevel="0" collapsed="false">
      <c r="A10" s="13" t="s">
        <v>35</v>
      </c>
      <c r="B10" s="14" t="s">
        <v>29</v>
      </c>
      <c r="C10" s="24" t="n">
        <v>4.9</v>
      </c>
      <c r="D10" s="14" t="n">
        <v>21</v>
      </c>
      <c r="E10" s="14" t="n">
        <v>0</v>
      </c>
      <c r="F10" s="14" t="n">
        <v>0</v>
      </c>
      <c r="G10" s="14" t="n">
        <v>0</v>
      </c>
      <c r="H10" s="14" t="n">
        <v>20</v>
      </c>
      <c r="I10" s="14" t="n">
        <v>0</v>
      </c>
      <c r="J10" s="14" t="s">
        <v>36</v>
      </c>
    </row>
    <row r="13" customFormat="false" ht="18" hidden="false" customHeight="true" outlineLevel="0" collapsed="false">
      <c r="A13" s="50" t="s">
        <v>59</v>
      </c>
    </row>
    <row r="14" customFormat="false" ht="15" hidden="false" customHeight="false" outlineLevel="0" collapsed="false">
      <c r="A14" s="51" t="s">
        <v>13</v>
      </c>
      <c r="B14" s="51" t="s">
        <v>39</v>
      </c>
    </row>
    <row r="15" customFormat="false" ht="15" hidden="false" customHeight="false" outlineLevel="0" collapsed="false">
      <c r="A15" s="52" t="s">
        <v>23</v>
      </c>
      <c r="B15" s="0" t="n">
        <v>3.39</v>
      </c>
    </row>
    <row r="16" customFormat="false" ht="15" hidden="false" customHeight="false" outlineLevel="0" collapsed="false">
      <c r="A16" s="52" t="s">
        <v>26</v>
      </c>
      <c r="B16" s="0" t="n">
        <v>3.64</v>
      </c>
    </row>
    <row r="17" customFormat="false" ht="15" hidden="false" customHeight="false" outlineLevel="0" collapsed="false">
      <c r="A17" s="52" t="s">
        <v>28</v>
      </c>
      <c r="B17" s="0" t="n">
        <v>4.33</v>
      </c>
    </row>
    <row r="18" customFormat="false" ht="15" hidden="false" customHeight="false" outlineLevel="0" collapsed="false">
      <c r="A18" s="52" t="s">
        <v>31</v>
      </c>
      <c r="B18" s="0" t="n">
        <v>4.41</v>
      </c>
    </row>
    <row r="19" customFormat="false" ht="15" hidden="false" customHeight="false" outlineLevel="0" collapsed="false">
      <c r="A19" s="52" t="s">
        <v>32</v>
      </c>
      <c r="B19" s="0" t="n">
        <v>4.53</v>
      </c>
    </row>
    <row r="20" customFormat="false" ht="15" hidden="false" customHeight="false" outlineLevel="0" collapsed="false">
      <c r="A20" s="52" t="s">
        <v>60</v>
      </c>
      <c r="B20" s="0" t="n">
        <v>4.57</v>
      </c>
    </row>
    <row r="21" customFormat="false" ht="15" hidden="false" customHeight="false" outlineLevel="0" collapsed="false">
      <c r="A21" s="52" t="s">
        <v>35</v>
      </c>
      <c r="B21" s="0" t="n">
        <v>4.9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48" t="s">
        <v>61</v>
      </c>
      <c r="B1" s="48"/>
      <c r="C1" s="48"/>
      <c r="D1" s="48"/>
      <c r="E1" s="48"/>
      <c r="F1" s="48"/>
    </row>
    <row r="2" customFormat="false" ht="21.75" hidden="false" customHeight="true" outlineLevel="0" collapsed="false">
      <c r="A2" s="48"/>
      <c r="B2" s="48"/>
      <c r="C2" s="48"/>
      <c r="D2" s="48"/>
      <c r="E2" s="48"/>
      <c r="F2" s="48"/>
    </row>
    <row r="3" customFormat="false" ht="24" hidden="false" customHeight="true" outlineLevel="0" collapsed="false">
      <c r="A3" s="49" t="s">
        <v>62</v>
      </c>
      <c r="B3" s="49" t="s">
        <v>63</v>
      </c>
      <c r="C3" s="49" t="s">
        <v>39</v>
      </c>
      <c r="D3" s="49" t="s">
        <v>16</v>
      </c>
      <c r="E3" s="49" t="s">
        <v>40</v>
      </c>
      <c r="F3" s="49" t="s">
        <v>64</v>
      </c>
    </row>
    <row r="4" customFormat="false" ht="21.75" hidden="false" customHeight="true" outlineLevel="0" collapsed="false">
      <c r="A4" s="53" t="s">
        <v>41</v>
      </c>
      <c r="B4" s="53" t="s">
        <v>65</v>
      </c>
      <c r="C4" s="26" t="n">
        <v>4</v>
      </c>
      <c r="D4" s="54" t="n">
        <v>39</v>
      </c>
      <c r="E4" s="54" t="s">
        <v>42</v>
      </c>
      <c r="F4" s="54" t="s">
        <v>42</v>
      </c>
    </row>
    <row r="5" customFormat="false" ht="21.75" hidden="false" customHeight="true" outlineLevel="0" collapsed="false">
      <c r="A5" s="53" t="s">
        <v>43</v>
      </c>
      <c r="B5" s="53" t="s">
        <v>66</v>
      </c>
      <c r="C5" s="26" t="n">
        <v>4.2</v>
      </c>
      <c r="D5" s="54" t="n">
        <v>56</v>
      </c>
      <c r="E5" s="55" t="n">
        <f aca="false">C5-C4</f>
        <v>0.2</v>
      </c>
      <c r="F5" s="56" t="n">
        <f aca="false">(C5-C4)/C4</f>
        <v>0.05</v>
      </c>
    </row>
    <row r="6" customFormat="false" ht="21.75" hidden="false" customHeight="true" outlineLevel="0" collapsed="false">
      <c r="A6" s="53" t="s">
        <v>44</v>
      </c>
      <c r="B6" s="53" t="s">
        <v>67</v>
      </c>
      <c r="C6" s="26" t="n">
        <v>4.44</v>
      </c>
      <c r="D6" s="54" t="n">
        <v>45</v>
      </c>
      <c r="E6" s="55" t="n">
        <f aca="false">C6-C5</f>
        <v>0.24</v>
      </c>
      <c r="F6" s="56" t="n">
        <f aca="false">(C6-C5)/C5</f>
        <v>0.0571428571428572</v>
      </c>
    </row>
  </sheetData>
  <mergeCells count="1">
    <mergeCell ref="A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0"/>
  </cols>
  <sheetData>
    <row r="1" customFormat="false" ht="21.75" hidden="false" customHeight="true" outlineLevel="0" collapsed="false">
      <c r="A1" s="48" t="s">
        <v>68</v>
      </c>
      <c r="B1" s="48"/>
      <c r="C1" s="48"/>
      <c r="D1" s="48"/>
      <c r="E1" s="48"/>
      <c r="F1" s="48"/>
      <c r="G1" s="48"/>
    </row>
    <row r="2" customFormat="false" ht="21.75" hidden="false" customHeight="true" outlineLevel="0" collapsed="false">
      <c r="A2" s="48"/>
      <c r="B2" s="48"/>
      <c r="C2" s="48"/>
      <c r="D2" s="48"/>
      <c r="E2" s="48"/>
      <c r="F2" s="48"/>
      <c r="G2" s="48"/>
    </row>
    <row r="3" customFormat="false" ht="24" hidden="false" customHeight="true" outlineLevel="0" collapsed="false">
      <c r="A3" s="49" t="s">
        <v>13</v>
      </c>
      <c r="B3" s="49" t="s">
        <v>14</v>
      </c>
      <c r="C3" s="49" t="s">
        <v>17</v>
      </c>
      <c r="D3" s="49" t="s">
        <v>18</v>
      </c>
      <c r="E3" s="49" t="s">
        <v>19</v>
      </c>
      <c r="F3" s="49" t="s">
        <v>56</v>
      </c>
      <c r="G3" s="49" t="s">
        <v>20</v>
      </c>
      <c r="H3" s="49" t="s">
        <v>69</v>
      </c>
    </row>
    <row r="4" customFormat="false" ht="21.75" hidden="false" customHeight="true" outlineLevel="0" collapsed="false">
      <c r="A4" s="57" t="s">
        <v>23</v>
      </c>
      <c r="B4" s="58" t="s">
        <v>70</v>
      </c>
      <c r="C4" s="59" t="n">
        <v>9</v>
      </c>
      <c r="D4" s="60" t="n">
        <v>4</v>
      </c>
      <c r="E4" s="61" t="n">
        <v>2</v>
      </c>
      <c r="F4" s="14" t="n">
        <v>0</v>
      </c>
      <c r="G4" s="62" t="n">
        <v>8</v>
      </c>
      <c r="H4" s="63" t="n">
        <f aca="false">SUM(C4:G4)</f>
        <v>23</v>
      </c>
    </row>
    <row r="5" customFormat="false" ht="21.75" hidden="false" customHeight="true" outlineLevel="0" collapsed="false">
      <c r="A5" s="64" t="s">
        <v>26</v>
      </c>
      <c r="B5" s="65" t="s">
        <v>70</v>
      </c>
      <c r="C5" s="59" t="n">
        <v>2</v>
      </c>
      <c r="D5" s="60" t="n">
        <v>9</v>
      </c>
      <c r="E5" s="61" t="n">
        <v>3</v>
      </c>
      <c r="F5" s="20" t="n">
        <v>0</v>
      </c>
      <c r="G5" s="62" t="n">
        <v>8</v>
      </c>
      <c r="H5" s="63" t="n">
        <f aca="false">SUM(C5:G5)</f>
        <v>22</v>
      </c>
    </row>
    <row r="6" customFormat="false" ht="21.75" hidden="false" customHeight="true" outlineLevel="0" collapsed="false">
      <c r="A6" s="57" t="s">
        <v>28</v>
      </c>
      <c r="B6" s="58" t="s">
        <v>71</v>
      </c>
      <c r="C6" s="59" t="n">
        <v>1</v>
      </c>
      <c r="D6" s="14" t="n">
        <v>0</v>
      </c>
      <c r="E6" s="14" t="n">
        <v>0</v>
      </c>
      <c r="F6" s="14" t="n">
        <v>0</v>
      </c>
      <c r="G6" s="62" t="n">
        <v>20</v>
      </c>
      <c r="H6" s="63" t="n">
        <f aca="false">SUM(C6:G6)</f>
        <v>21</v>
      </c>
    </row>
    <row r="7" customFormat="false" ht="21.75" hidden="false" customHeight="true" outlineLevel="0" collapsed="false">
      <c r="A7" s="64" t="s">
        <v>31</v>
      </c>
      <c r="B7" s="65" t="s">
        <v>71</v>
      </c>
      <c r="C7" s="20" t="n">
        <v>0</v>
      </c>
      <c r="D7" s="20" t="n">
        <v>0</v>
      </c>
      <c r="E7" s="20" t="n">
        <v>0</v>
      </c>
      <c r="F7" s="20" t="n">
        <v>0</v>
      </c>
      <c r="G7" s="62" t="n">
        <v>17</v>
      </c>
      <c r="H7" s="63" t="n">
        <f aca="false">SUM(C7:G7)</f>
        <v>17</v>
      </c>
    </row>
    <row r="8" customFormat="false" ht="21.75" hidden="false" customHeight="true" outlineLevel="0" collapsed="false">
      <c r="A8" s="57" t="s">
        <v>32</v>
      </c>
      <c r="B8" s="58" t="s">
        <v>71</v>
      </c>
      <c r="C8" s="59" t="n">
        <v>1</v>
      </c>
      <c r="D8" s="60" t="n">
        <v>1</v>
      </c>
      <c r="E8" s="61" t="n">
        <v>1</v>
      </c>
      <c r="F8" s="14" t="n">
        <v>0</v>
      </c>
      <c r="G8" s="62" t="n">
        <v>12</v>
      </c>
      <c r="H8" s="63" t="n">
        <f aca="false">SUM(C8:G8)</f>
        <v>15</v>
      </c>
    </row>
    <row r="9" customFormat="false" ht="21.75" hidden="false" customHeight="true" outlineLevel="0" collapsed="false">
      <c r="A9" s="64" t="s">
        <v>34</v>
      </c>
      <c r="B9" s="65" t="s">
        <v>71</v>
      </c>
      <c r="C9" s="20" t="n">
        <v>0</v>
      </c>
      <c r="D9" s="60" t="n">
        <v>3</v>
      </c>
      <c r="E9" s="20" t="n">
        <v>0</v>
      </c>
      <c r="F9" s="20" t="n">
        <v>0</v>
      </c>
      <c r="G9" s="62" t="n">
        <v>18</v>
      </c>
      <c r="H9" s="63" t="n">
        <f aca="false">SUM(C9:G9)</f>
        <v>21</v>
      </c>
    </row>
    <row r="10" customFormat="false" ht="21.75" hidden="false" customHeight="true" outlineLevel="0" collapsed="false">
      <c r="A10" s="57" t="s">
        <v>35</v>
      </c>
      <c r="B10" s="58" t="s">
        <v>71</v>
      </c>
      <c r="C10" s="14" t="n">
        <v>0</v>
      </c>
      <c r="D10" s="14" t="n">
        <v>0</v>
      </c>
      <c r="E10" s="14" t="n">
        <v>0</v>
      </c>
      <c r="F10" s="14" t="n">
        <v>0</v>
      </c>
      <c r="G10" s="62" t="n">
        <v>20</v>
      </c>
      <c r="H10" s="63" t="n">
        <f aca="false">SUM(C10:G10)</f>
        <v>20</v>
      </c>
    </row>
    <row r="11" customFormat="false" ht="21.75" hidden="false" customHeight="true" outlineLevel="0" collapsed="false">
      <c r="A11" s="49" t="s">
        <v>72</v>
      </c>
      <c r="B11" s="49"/>
      <c r="C11" s="49" t="n">
        <f aca="false">SUM(C4:C10)</f>
        <v>13</v>
      </c>
      <c r="D11" s="49" t="n">
        <f aca="false">SUM(D4:D10)</f>
        <v>17</v>
      </c>
      <c r="E11" s="49" t="n">
        <f aca="false">SUM(E4:E10)</f>
        <v>6</v>
      </c>
      <c r="F11" s="49" t="n">
        <f aca="false">SUM(F4:F10)</f>
        <v>0</v>
      </c>
      <c r="G11" s="49" t="n">
        <f aca="false">SUM(G4:G10)</f>
        <v>103</v>
      </c>
      <c r="H11" s="49" t="n">
        <f aca="false">SUM(H4:H10)</f>
        <v>139</v>
      </c>
    </row>
    <row r="14" customFormat="false" ht="15" hidden="false" customHeight="false" outlineLevel="0" collapsed="false">
      <c r="A14" s="66" t="s">
        <v>73</v>
      </c>
      <c r="B14" s="66" t="s">
        <v>74</v>
      </c>
    </row>
    <row r="15" customFormat="false" ht="15" hidden="false" customHeight="false" outlineLevel="0" collapsed="false">
      <c r="A15" s="0" t="s">
        <v>20</v>
      </c>
      <c r="B15" s="0" t="n">
        <v>103</v>
      </c>
    </row>
    <row r="16" customFormat="false" ht="15" hidden="false" customHeight="false" outlineLevel="0" collapsed="false">
      <c r="A16" s="0" t="s">
        <v>18</v>
      </c>
      <c r="B16" s="0" t="n">
        <v>17</v>
      </c>
    </row>
    <row r="17" customFormat="false" ht="15" hidden="false" customHeight="false" outlineLevel="0" collapsed="false">
      <c r="A17" s="0" t="s">
        <v>17</v>
      </c>
      <c r="B17" s="0" t="n">
        <v>13</v>
      </c>
    </row>
    <row r="18" customFormat="false" ht="15" hidden="false" customHeight="false" outlineLevel="0" collapsed="false">
      <c r="A18" s="0" t="s">
        <v>19</v>
      </c>
      <c r="B18" s="0" t="n">
        <v>6</v>
      </c>
    </row>
    <row r="19" customFormat="false" ht="15" hidden="false" customHeight="false" outlineLevel="0" collapsed="false">
      <c r="A19" s="0" t="s">
        <v>56</v>
      </c>
      <c r="B19" s="0" t="n">
        <v>1</v>
      </c>
    </row>
  </sheetData>
  <mergeCells count="1">
    <mergeCell ref="A1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1.75" hidden="false" customHeight="true" outlineLevel="0" collapsed="false">
      <c r="A1" s="48" t="s">
        <v>75</v>
      </c>
      <c r="B1" s="48"/>
      <c r="C1" s="48"/>
      <c r="D1" s="48"/>
      <c r="E1" s="48"/>
      <c r="F1" s="48"/>
      <c r="G1" s="48"/>
      <c r="H1" s="48"/>
    </row>
    <row r="2" customFormat="false" ht="21.75" hidden="false" customHeight="true" outlineLevel="0" collapsed="false">
      <c r="A2" s="48"/>
      <c r="B2" s="48"/>
      <c r="C2" s="48"/>
      <c r="D2" s="48"/>
      <c r="E2" s="48"/>
      <c r="F2" s="48"/>
      <c r="G2" s="48"/>
      <c r="H2" s="48"/>
    </row>
    <row r="3" customFormat="false" ht="24" hidden="false" customHeight="true" outlineLevel="0" collapsed="false">
      <c r="A3" s="49" t="s">
        <v>76</v>
      </c>
      <c r="B3" s="49" t="s">
        <v>77</v>
      </c>
      <c r="C3" s="49" t="s">
        <v>14</v>
      </c>
      <c r="D3" s="49" t="s">
        <v>78</v>
      </c>
      <c r="E3" s="49" t="s">
        <v>13</v>
      </c>
      <c r="F3" s="49" t="s">
        <v>79</v>
      </c>
      <c r="G3" s="49" t="s">
        <v>80</v>
      </c>
      <c r="H3" s="49" t="s">
        <v>81</v>
      </c>
    </row>
    <row r="4" customFormat="false" ht="19.5" hidden="false" customHeight="true" outlineLevel="0" collapsed="false">
      <c r="A4" s="67" t="n">
        <v>1</v>
      </c>
      <c r="B4" s="67" t="s">
        <v>82</v>
      </c>
      <c r="C4" s="67" t="s">
        <v>24</v>
      </c>
      <c r="D4" s="67" t="s">
        <v>83</v>
      </c>
      <c r="E4" s="57" t="s">
        <v>23</v>
      </c>
      <c r="F4" s="68" t="n">
        <v>3</v>
      </c>
      <c r="G4" s="69" t="s">
        <v>84</v>
      </c>
      <c r="H4" s="67" t="s">
        <v>85</v>
      </c>
    </row>
    <row r="5" customFormat="false" ht="19.5" hidden="false" customHeight="true" outlineLevel="0" collapsed="false">
      <c r="A5" s="70" t="n">
        <v>2</v>
      </c>
      <c r="B5" s="70" t="s">
        <v>86</v>
      </c>
      <c r="C5" s="70" t="s">
        <v>24</v>
      </c>
      <c r="D5" s="70" t="s">
        <v>83</v>
      </c>
      <c r="E5" s="64" t="s">
        <v>23</v>
      </c>
      <c r="F5" s="71" t="n">
        <v>4</v>
      </c>
      <c r="G5" s="72" t="s">
        <v>87</v>
      </c>
      <c r="H5" s="70" t="s">
        <v>85</v>
      </c>
    </row>
    <row r="6" customFormat="false" ht="19.5" hidden="false" customHeight="true" outlineLevel="0" collapsed="false">
      <c r="A6" s="67" t="n">
        <v>3</v>
      </c>
      <c r="B6" s="67" t="s">
        <v>88</v>
      </c>
      <c r="C6" s="67" t="s">
        <v>24</v>
      </c>
      <c r="D6" s="67" t="s">
        <v>83</v>
      </c>
      <c r="E6" s="57" t="s">
        <v>23</v>
      </c>
      <c r="F6" s="71" t="n">
        <v>4</v>
      </c>
      <c r="G6" s="72" t="s">
        <v>87</v>
      </c>
      <c r="H6" s="67" t="s">
        <v>85</v>
      </c>
    </row>
    <row r="7" customFormat="false" ht="19.5" hidden="false" customHeight="true" outlineLevel="0" collapsed="false">
      <c r="A7" s="70" t="n">
        <v>4</v>
      </c>
      <c r="B7" s="70" t="s">
        <v>89</v>
      </c>
      <c r="C7" s="70" t="s">
        <v>24</v>
      </c>
      <c r="D7" s="70" t="s">
        <v>83</v>
      </c>
      <c r="E7" s="64" t="s">
        <v>23</v>
      </c>
      <c r="F7" s="68" t="n">
        <v>3</v>
      </c>
      <c r="G7" s="73" t="s">
        <v>90</v>
      </c>
      <c r="H7" s="70" t="s">
        <v>85</v>
      </c>
    </row>
    <row r="8" customFormat="false" ht="19.5" hidden="false" customHeight="true" outlineLevel="0" collapsed="false">
      <c r="A8" s="67" t="n">
        <v>5</v>
      </c>
      <c r="B8" s="67" t="s">
        <v>91</v>
      </c>
      <c r="C8" s="67" t="s">
        <v>24</v>
      </c>
      <c r="D8" s="67" t="s">
        <v>83</v>
      </c>
      <c r="E8" s="57" t="s">
        <v>23</v>
      </c>
      <c r="F8" s="68" t="n">
        <v>3</v>
      </c>
      <c r="G8" s="69" t="s">
        <v>84</v>
      </c>
      <c r="H8" s="67" t="s">
        <v>85</v>
      </c>
    </row>
    <row r="9" customFormat="false" ht="19.5" hidden="false" customHeight="true" outlineLevel="0" collapsed="false">
      <c r="A9" s="70" t="n">
        <v>6</v>
      </c>
      <c r="B9" s="70" t="s">
        <v>92</v>
      </c>
      <c r="C9" s="70" t="s">
        <v>24</v>
      </c>
      <c r="D9" s="70" t="s">
        <v>83</v>
      </c>
      <c r="E9" s="64" t="s">
        <v>23</v>
      </c>
      <c r="F9" s="68" t="n">
        <v>3</v>
      </c>
      <c r="G9" s="73" t="s">
        <v>90</v>
      </c>
      <c r="H9" s="70" t="s">
        <v>85</v>
      </c>
    </row>
    <row r="10" customFormat="false" ht="19.5" hidden="false" customHeight="true" outlineLevel="0" collapsed="false">
      <c r="A10" s="67" t="n">
        <v>7</v>
      </c>
      <c r="B10" s="67" t="s">
        <v>93</v>
      </c>
      <c r="C10" s="67" t="s">
        <v>24</v>
      </c>
      <c r="D10" s="67" t="s">
        <v>83</v>
      </c>
      <c r="E10" s="57" t="s">
        <v>23</v>
      </c>
      <c r="F10" s="68" t="n">
        <v>3</v>
      </c>
      <c r="G10" s="73" t="s">
        <v>90</v>
      </c>
      <c r="H10" s="67" t="s">
        <v>85</v>
      </c>
    </row>
    <row r="11" customFormat="false" ht="19.5" hidden="false" customHeight="true" outlineLevel="0" collapsed="false">
      <c r="A11" s="70" t="n">
        <v>8</v>
      </c>
      <c r="B11" s="70" t="s">
        <v>94</v>
      </c>
      <c r="C11" s="70" t="s">
        <v>24</v>
      </c>
      <c r="D11" s="70" t="s">
        <v>83</v>
      </c>
      <c r="E11" s="64" t="s">
        <v>23</v>
      </c>
      <c r="F11" s="71" t="n">
        <v>4</v>
      </c>
      <c r="G11" s="72" t="s">
        <v>87</v>
      </c>
      <c r="H11" s="70" t="s">
        <v>85</v>
      </c>
    </row>
    <row r="12" customFormat="false" ht="19.5" hidden="false" customHeight="true" outlineLevel="0" collapsed="false">
      <c r="A12" s="67" t="n">
        <v>9</v>
      </c>
      <c r="B12" s="67" t="s">
        <v>95</v>
      </c>
      <c r="C12" s="67" t="s">
        <v>24</v>
      </c>
      <c r="D12" s="67" t="s">
        <v>83</v>
      </c>
      <c r="E12" s="57" t="s">
        <v>23</v>
      </c>
      <c r="F12" s="68" t="n">
        <v>3</v>
      </c>
      <c r="G12" s="69" t="s">
        <v>84</v>
      </c>
      <c r="H12" s="67" t="s">
        <v>85</v>
      </c>
    </row>
    <row r="13" customFormat="false" ht="19.5" hidden="false" customHeight="true" outlineLevel="0" collapsed="false">
      <c r="A13" s="70" t="n">
        <v>10</v>
      </c>
      <c r="B13" s="70" t="s">
        <v>96</v>
      </c>
      <c r="C13" s="70" t="s">
        <v>24</v>
      </c>
      <c r="D13" s="70" t="s">
        <v>83</v>
      </c>
      <c r="E13" s="64" t="s">
        <v>23</v>
      </c>
      <c r="F13" s="71" t="n">
        <v>4</v>
      </c>
      <c r="G13" s="69" t="s">
        <v>84</v>
      </c>
      <c r="H13" s="70" t="s">
        <v>85</v>
      </c>
    </row>
    <row r="14" customFormat="false" ht="19.5" hidden="false" customHeight="true" outlineLevel="0" collapsed="false">
      <c r="A14" s="67" t="n">
        <v>11</v>
      </c>
      <c r="B14" s="67" t="s">
        <v>82</v>
      </c>
      <c r="C14" s="67" t="s">
        <v>24</v>
      </c>
      <c r="D14" s="67" t="s">
        <v>83</v>
      </c>
      <c r="E14" s="57" t="s">
        <v>26</v>
      </c>
      <c r="F14" s="68" t="n">
        <v>3</v>
      </c>
      <c r="G14" s="73" t="s">
        <v>90</v>
      </c>
      <c r="H14" s="67" t="s">
        <v>85</v>
      </c>
    </row>
    <row r="15" customFormat="false" ht="19.5" hidden="false" customHeight="true" outlineLevel="0" collapsed="false">
      <c r="A15" s="70" t="n">
        <v>12</v>
      </c>
      <c r="B15" s="70" t="s">
        <v>86</v>
      </c>
      <c r="C15" s="70" t="s">
        <v>24</v>
      </c>
      <c r="D15" s="70" t="s">
        <v>83</v>
      </c>
      <c r="E15" s="64" t="s">
        <v>26</v>
      </c>
      <c r="F15" s="68" t="n">
        <v>3</v>
      </c>
      <c r="G15" s="73" t="s">
        <v>90</v>
      </c>
      <c r="H15" s="70" t="s">
        <v>85</v>
      </c>
    </row>
    <row r="16" customFormat="false" ht="19.5" hidden="false" customHeight="true" outlineLevel="0" collapsed="false">
      <c r="A16" s="67" t="n">
        <v>13</v>
      </c>
      <c r="B16" s="67" t="s">
        <v>89</v>
      </c>
      <c r="C16" s="67" t="s">
        <v>24</v>
      </c>
      <c r="D16" s="67" t="s">
        <v>83</v>
      </c>
      <c r="E16" s="57" t="s">
        <v>26</v>
      </c>
      <c r="F16" s="68" t="n">
        <v>3</v>
      </c>
      <c r="G16" s="73" t="s">
        <v>90</v>
      </c>
      <c r="H16" s="67" t="s">
        <v>85</v>
      </c>
    </row>
    <row r="17" customFormat="false" ht="19.5" hidden="false" customHeight="true" outlineLevel="0" collapsed="false">
      <c r="A17" s="70" t="n">
        <v>14</v>
      </c>
      <c r="B17" s="70" t="s">
        <v>91</v>
      </c>
      <c r="C17" s="70" t="s">
        <v>24</v>
      </c>
      <c r="D17" s="70" t="s">
        <v>83</v>
      </c>
      <c r="E17" s="64" t="s">
        <v>26</v>
      </c>
      <c r="F17" s="68" t="n">
        <v>3</v>
      </c>
      <c r="G17" s="73" t="s">
        <v>90</v>
      </c>
      <c r="H17" s="70" t="s">
        <v>85</v>
      </c>
    </row>
    <row r="18" customFormat="false" ht="19.5" hidden="false" customHeight="true" outlineLevel="0" collapsed="false">
      <c r="A18" s="67" t="n">
        <v>15</v>
      </c>
      <c r="B18" s="67" t="s">
        <v>92</v>
      </c>
      <c r="C18" s="67" t="s">
        <v>24</v>
      </c>
      <c r="D18" s="67" t="s">
        <v>83</v>
      </c>
      <c r="E18" s="57" t="s">
        <v>26</v>
      </c>
      <c r="F18" s="71" t="n">
        <v>4</v>
      </c>
      <c r="G18" s="73" t="s">
        <v>90</v>
      </c>
      <c r="H18" s="67" t="s">
        <v>85</v>
      </c>
    </row>
    <row r="19" customFormat="false" ht="19.5" hidden="false" customHeight="true" outlineLevel="0" collapsed="false">
      <c r="A19" s="70" t="n">
        <v>16</v>
      </c>
      <c r="B19" s="70" t="s">
        <v>97</v>
      </c>
      <c r="C19" s="70" t="s">
        <v>29</v>
      </c>
      <c r="D19" s="70" t="s">
        <v>83</v>
      </c>
      <c r="E19" s="64" t="s">
        <v>31</v>
      </c>
      <c r="F19" s="71" t="n">
        <v>5</v>
      </c>
      <c r="G19" s="72" t="s">
        <v>87</v>
      </c>
      <c r="H19" s="70" t="s">
        <v>85</v>
      </c>
    </row>
    <row r="20" customFormat="false" ht="19.5" hidden="false" customHeight="true" outlineLevel="0" collapsed="false">
      <c r="A20" s="67" t="n">
        <v>17</v>
      </c>
      <c r="B20" s="67" t="s">
        <v>98</v>
      </c>
      <c r="C20" s="67" t="s">
        <v>29</v>
      </c>
      <c r="D20" s="67" t="s">
        <v>83</v>
      </c>
      <c r="E20" s="57" t="s">
        <v>31</v>
      </c>
      <c r="F20" s="71" t="n">
        <v>5</v>
      </c>
      <c r="G20" s="72" t="s">
        <v>87</v>
      </c>
      <c r="H20" s="67" t="s">
        <v>85</v>
      </c>
    </row>
    <row r="21" customFormat="false" ht="19.5" hidden="false" customHeight="true" outlineLevel="0" collapsed="false">
      <c r="A21" s="70" t="n">
        <v>18</v>
      </c>
      <c r="B21" s="70" t="s">
        <v>86</v>
      </c>
      <c r="C21" s="70" t="s">
        <v>29</v>
      </c>
      <c r="D21" s="70" t="s">
        <v>83</v>
      </c>
      <c r="E21" s="64" t="s">
        <v>31</v>
      </c>
      <c r="F21" s="71" t="n">
        <v>5</v>
      </c>
      <c r="G21" s="72" t="s">
        <v>87</v>
      </c>
      <c r="H21" s="70" t="s">
        <v>85</v>
      </c>
    </row>
    <row r="22" customFormat="false" ht="19.5" hidden="false" customHeight="true" outlineLevel="0" collapsed="false">
      <c r="A22" s="67" t="n">
        <v>19</v>
      </c>
      <c r="B22" s="67" t="s">
        <v>99</v>
      </c>
      <c r="C22" s="67" t="s">
        <v>29</v>
      </c>
      <c r="D22" s="67" t="s">
        <v>83</v>
      </c>
      <c r="E22" s="57" t="s">
        <v>34</v>
      </c>
      <c r="F22" s="71" t="n">
        <v>5</v>
      </c>
      <c r="G22" s="72" t="s">
        <v>87</v>
      </c>
      <c r="H22" s="67" t="s">
        <v>85</v>
      </c>
    </row>
    <row r="23" customFormat="false" ht="19.5" hidden="false" customHeight="true" outlineLevel="0" collapsed="false">
      <c r="A23" s="70" t="n">
        <v>20</v>
      </c>
      <c r="B23" s="70" t="s">
        <v>100</v>
      </c>
      <c r="C23" s="70" t="s">
        <v>29</v>
      </c>
      <c r="D23" s="70" t="s">
        <v>83</v>
      </c>
      <c r="E23" s="64" t="s">
        <v>34</v>
      </c>
      <c r="F23" s="71" t="n">
        <v>5</v>
      </c>
      <c r="G23" s="72" t="s">
        <v>87</v>
      </c>
      <c r="H23" s="70" t="s">
        <v>85</v>
      </c>
    </row>
    <row r="24" customFormat="false" ht="19.5" hidden="false" customHeight="true" outlineLevel="0" collapsed="false">
      <c r="A24" s="67" t="n">
        <v>21</v>
      </c>
      <c r="B24" s="67" t="s">
        <v>99</v>
      </c>
      <c r="C24" s="67" t="s">
        <v>29</v>
      </c>
      <c r="D24" s="67" t="s">
        <v>83</v>
      </c>
      <c r="E24" s="57" t="s">
        <v>35</v>
      </c>
      <c r="F24" s="71" t="n">
        <v>5</v>
      </c>
      <c r="G24" s="72" t="s">
        <v>87</v>
      </c>
      <c r="H24" s="67" t="s">
        <v>85</v>
      </c>
    </row>
    <row r="25" customFormat="false" ht="19.5" hidden="false" customHeight="true" outlineLevel="0" collapsed="false">
      <c r="A25" s="70" t="n">
        <v>22</v>
      </c>
      <c r="B25" s="70" t="s">
        <v>100</v>
      </c>
      <c r="C25" s="70" t="s">
        <v>29</v>
      </c>
      <c r="D25" s="70" t="s">
        <v>83</v>
      </c>
      <c r="E25" s="64" t="s">
        <v>35</v>
      </c>
      <c r="F25" s="71" t="n">
        <v>5</v>
      </c>
      <c r="G25" s="72" t="s">
        <v>87</v>
      </c>
      <c r="H25" s="70" t="s">
        <v>85</v>
      </c>
    </row>
    <row r="26" customFormat="false" ht="19.5" hidden="false" customHeight="true" outlineLevel="0" collapsed="false">
      <c r="A26" s="67" t="n">
        <v>23</v>
      </c>
      <c r="B26" s="67" t="s">
        <v>82</v>
      </c>
      <c r="C26" s="67" t="s">
        <v>29</v>
      </c>
      <c r="D26" s="67" t="s">
        <v>83</v>
      </c>
      <c r="E26" s="57" t="s">
        <v>35</v>
      </c>
      <c r="F26" s="71" t="n">
        <v>5</v>
      </c>
      <c r="G26" s="72" t="s">
        <v>87</v>
      </c>
      <c r="H26" s="67" t="s">
        <v>85</v>
      </c>
    </row>
    <row r="27" customFormat="false" ht="19.5" hidden="false" customHeight="true" outlineLevel="0" collapsed="false">
      <c r="A27" s="70" t="n">
        <v>24</v>
      </c>
      <c r="B27" s="70" t="s">
        <v>82</v>
      </c>
      <c r="C27" s="70" t="s">
        <v>29</v>
      </c>
      <c r="D27" s="70" t="s">
        <v>83</v>
      </c>
      <c r="E27" s="64" t="s">
        <v>28</v>
      </c>
      <c r="F27" s="71" t="n">
        <v>5</v>
      </c>
      <c r="G27" s="72" t="s">
        <v>87</v>
      </c>
      <c r="H27" s="70" t="s">
        <v>85</v>
      </c>
    </row>
    <row r="28" customFormat="false" ht="19.5" hidden="false" customHeight="true" outlineLevel="0" collapsed="false">
      <c r="A28" s="67" t="n">
        <v>25</v>
      </c>
      <c r="B28" s="67" t="s">
        <v>86</v>
      </c>
      <c r="C28" s="67" t="s">
        <v>29</v>
      </c>
      <c r="D28" s="67" t="s">
        <v>83</v>
      </c>
      <c r="E28" s="57" t="s">
        <v>28</v>
      </c>
      <c r="F28" s="71" t="n">
        <v>5</v>
      </c>
      <c r="G28" s="72" t="s">
        <v>87</v>
      </c>
      <c r="H28" s="67" t="s">
        <v>85</v>
      </c>
    </row>
    <row r="29" customFormat="false" ht="19.5" hidden="false" customHeight="true" outlineLevel="0" collapsed="false">
      <c r="A29" s="70" t="n">
        <v>26</v>
      </c>
      <c r="B29" s="70" t="s">
        <v>101</v>
      </c>
      <c r="C29" s="70" t="s">
        <v>24</v>
      </c>
      <c r="D29" s="70" t="s">
        <v>83</v>
      </c>
      <c r="E29" s="64" t="s">
        <v>23</v>
      </c>
      <c r="F29" s="74" t="n">
        <v>2</v>
      </c>
      <c r="G29" s="69" t="s">
        <v>84</v>
      </c>
      <c r="H29" s="70" t="s">
        <v>85</v>
      </c>
    </row>
    <row r="30" customFormat="false" ht="19.5" hidden="false" customHeight="true" outlineLevel="0" collapsed="false">
      <c r="A30" s="67" t="n">
        <v>27</v>
      </c>
      <c r="B30" s="67" t="s">
        <v>102</v>
      </c>
      <c r="C30" s="67" t="s">
        <v>24</v>
      </c>
      <c r="D30" s="67" t="s">
        <v>83</v>
      </c>
      <c r="E30" s="57" t="s">
        <v>23</v>
      </c>
      <c r="F30" s="74" t="n">
        <v>2</v>
      </c>
      <c r="G30" s="73" t="s">
        <v>90</v>
      </c>
      <c r="H30" s="67" t="s">
        <v>85</v>
      </c>
    </row>
    <row r="31" customFormat="false" ht="19.5" hidden="false" customHeight="true" outlineLevel="0" collapsed="false">
      <c r="A31" s="70" t="n">
        <v>28</v>
      </c>
      <c r="B31" s="70" t="s">
        <v>103</v>
      </c>
      <c r="C31" s="70" t="s">
        <v>29</v>
      </c>
      <c r="D31" s="70" t="s">
        <v>83</v>
      </c>
      <c r="E31" s="64" t="s">
        <v>28</v>
      </c>
      <c r="F31" s="71" t="n">
        <v>5</v>
      </c>
      <c r="G31" s="72" t="s">
        <v>87</v>
      </c>
      <c r="H31" s="70" t="s">
        <v>85</v>
      </c>
    </row>
    <row r="32" customFormat="false" ht="19.5" hidden="false" customHeight="true" outlineLevel="0" collapsed="false">
      <c r="A32" s="67" t="n">
        <v>29</v>
      </c>
      <c r="B32" s="67" t="s">
        <v>104</v>
      </c>
      <c r="C32" s="67" t="s">
        <v>29</v>
      </c>
      <c r="D32" s="67" t="s">
        <v>83</v>
      </c>
      <c r="E32" s="57" t="s">
        <v>28</v>
      </c>
      <c r="F32" s="71" t="n">
        <v>4</v>
      </c>
      <c r="G32" s="72" t="s">
        <v>87</v>
      </c>
      <c r="H32" s="67" t="s">
        <v>85</v>
      </c>
    </row>
    <row r="33" customFormat="false" ht="19.5" hidden="false" customHeight="true" outlineLevel="0" collapsed="false">
      <c r="A33" s="70" t="n">
        <v>30</v>
      </c>
      <c r="B33" s="70" t="s">
        <v>100</v>
      </c>
      <c r="C33" s="70" t="s">
        <v>29</v>
      </c>
      <c r="D33" s="70" t="s">
        <v>83</v>
      </c>
      <c r="E33" s="64" t="s">
        <v>32</v>
      </c>
      <c r="F33" s="71" t="n">
        <v>5</v>
      </c>
      <c r="G33" s="72" t="s">
        <v>87</v>
      </c>
      <c r="H33" s="70" t="s">
        <v>85</v>
      </c>
    </row>
    <row r="35" customFormat="false" ht="15" hidden="false" customHeight="false" outlineLevel="0" collapsed="false">
      <c r="A35" s="75" t="s">
        <v>105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</cols>
  <sheetData>
    <row r="1" customFormat="false" ht="21.75" hidden="false" customHeight="true" outlineLevel="0" collapsed="false">
      <c r="A1" s="48" t="s">
        <v>106</v>
      </c>
      <c r="B1" s="48"/>
      <c r="C1" s="48"/>
      <c r="D1" s="48"/>
      <c r="E1" s="48"/>
      <c r="F1" s="48"/>
    </row>
    <row r="2" customFormat="false" ht="21.75" hidden="false" customHeight="true" outlineLevel="0" collapsed="false">
      <c r="A2" s="48"/>
      <c r="B2" s="48"/>
      <c r="C2" s="48"/>
      <c r="D2" s="48"/>
      <c r="E2" s="48"/>
      <c r="F2" s="48"/>
    </row>
    <row r="4" customFormat="false" ht="24" hidden="false" customHeight="true" outlineLevel="0" collapsed="false">
      <c r="A4" s="76" t="s">
        <v>107</v>
      </c>
      <c r="B4" s="76"/>
      <c r="C4" s="76"/>
      <c r="D4" s="76"/>
      <c r="E4" s="76"/>
      <c r="F4" s="76"/>
    </row>
    <row r="5" customFormat="false" ht="18" hidden="false" customHeight="true" outlineLevel="0" collapsed="false">
      <c r="A5" s="77" t="s">
        <v>108</v>
      </c>
      <c r="B5" s="77"/>
      <c r="C5" s="77"/>
      <c r="D5" s="77"/>
      <c r="E5" s="77"/>
      <c r="F5" s="77"/>
    </row>
    <row r="6" customFormat="false" ht="18" hidden="false" customHeight="true" outlineLevel="0" collapsed="false">
      <c r="A6" s="77" t="s">
        <v>109</v>
      </c>
      <c r="B6" s="77"/>
      <c r="C6" s="77"/>
      <c r="D6" s="77"/>
      <c r="E6" s="77"/>
      <c r="F6" s="77"/>
    </row>
    <row r="7" customFormat="false" ht="18" hidden="false" customHeight="true" outlineLevel="0" collapsed="false">
      <c r="A7" s="77" t="s">
        <v>110</v>
      </c>
      <c r="B7" s="77"/>
      <c r="C7" s="77"/>
      <c r="D7" s="77"/>
      <c r="E7" s="77"/>
      <c r="F7" s="77"/>
    </row>
    <row r="8" customFormat="false" ht="18" hidden="false" customHeight="true" outlineLevel="0" collapsed="false">
      <c r="A8" s="77" t="s">
        <v>111</v>
      </c>
      <c r="B8" s="77"/>
      <c r="C8" s="77"/>
      <c r="D8" s="77"/>
      <c r="E8" s="77"/>
      <c r="F8" s="77"/>
    </row>
    <row r="10" customFormat="false" ht="24" hidden="false" customHeight="true" outlineLevel="0" collapsed="false">
      <c r="A10" s="78" t="s">
        <v>112</v>
      </c>
      <c r="B10" s="78"/>
      <c r="C10" s="78"/>
      <c r="D10" s="78"/>
      <c r="E10" s="78"/>
      <c r="F10" s="78"/>
    </row>
    <row r="11" customFormat="false" ht="18" hidden="false" customHeight="true" outlineLevel="0" collapsed="false">
      <c r="A11" s="79" t="s">
        <v>113</v>
      </c>
      <c r="B11" s="79"/>
      <c r="C11" s="79"/>
      <c r="D11" s="79"/>
      <c r="E11" s="79"/>
      <c r="F11" s="79"/>
    </row>
    <row r="12" customFormat="false" ht="18" hidden="false" customHeight="true" outlineLevel="0" collapsed="false">
      <c r="A12" s="79" t="s">
        <v>114</v>
      </c>
      <c r="B12" s="79"/>
      <c r="C12" s="79"/>
      <c r="D12" s="79"/>
      <c r="E12" s="79"/>
      <c r="F12" s="79"/>
    </row>
    <row r="13" customFormat="false" ht="18" hidden="false" customHeight="true" outlineLevel="0" collapsed="false">
      <c r="A13" s="79" t="s">
        <v>115</v>
      </c>
      <c r="B13" s="79"/>
      <c r="C13" s="79"/>
      <c r="D13" s="79"/>
      <c r="E13" s="79"/>
      <c r="F13" s="79"/>
    </row>
    <row r="14" customFormat="false" ht="18" hidden="false" customHeight="true" outlineLevel="0" collapsed="false">
      <c r="A14" s="79" t="s">
        <v>116</v>
      </c>
      <c r="B14" s="79"/>
      <c r="C14" s="79"/>
      <c r="D14" s="79"/>
      <c r="E14" s="79"/>
      <c r="F14" s="79"/>
    </row>
    <row r="16" customFormat="false" ht="24" hidden="false" customHeight="true" outlineLevel="0" collapsed="false">
      <c r="A16" s="80" t="s">
        <v>117</v>
      </c>
      <c r="B16" s="80"/>
      <c r="C16" s="80"/>
      <c r="D16" s="80"/>
      <c r="E16" s="80"/>
      <c r="F16" s="80"/>
    </row>
    <row r="17" customFormat="false" ht="18" hidden="false" customHeight="true" outlineLevel="0" collapsed="false">
      <c r="A17" s="81" t="s">
        <v>118</v>
      </c>
      <c r="B17" s="81"/>
      <c r="C17" s="81"/>
      <c r="D17" s="81"/>
      <c r="E17" s="81"/>
      <c r="F17" s="81"/>
    </row>
    <row r="18" customFormat="false" ht="18" hidden="false" customHeight="true" outlineLevel="0" collapsed="false">
      <c r="A18" s="81" t="s">
        <v>119</v>
      </c>
      <c r="B18" s="81"/>
      <c r="C18" s="81"/>
      <c r="D18" s="81"/>
      <c r="E18" s="81"/>
      <c r="F18" s="81"/>
    </row>
    <row r="19" customFormat="false" ht="18" hidden="false" customHeight="true" outlineLevel="0" collapsed="false">
      <c r="A19" s="81" t="s">
        <v>120</v>
      </c>
      <c r="B19" s="81"/>
      <c r="C19" s="81"/>
      <c r="D19" s="81"/>
      <c r="E19" s="81"/>
      <c r="F19" s="81"/>
    </row>
    <row r="20" customFormat="false" ht="18" hidden="false" customHeight="true" outlineLevel="0" collapsed="false">
      <c r="A20" s="81" t="s">
        <v>121</v>
      </c>
      <c r="B20" s="81"/>
      <c r="C20" s="81"/>
      <c r="D20" s="81"/>
      <c r="E20" s="81"/>
      <c r="F20" s="81"/>
    </row>
    <row r="22" customFormat="false" ht="24" hidden="false" customHeight="true" outlineLevel="0" collapsed="false">
      <c r="A22" s="82" t="s">
        <v>122</v>
      </c>
      <c r="B22" s="82"/>
      <c r="C22" s="82"/>
      <c r="D22" s="82"/>
      <c r="E22" s="82"/>
      <c r="F22" s="82"/>
    </row>
    <row r="23" customFormat="false" ht="18" hidden="false" customHeight="true" outlineLevel="0" collapsed="false">
      <c r="A23" s="83" t="s">
        <v>123</v>
      </c>
      <c r="B23" s="83"/>
      <c r="C23" s="83"/>
      <c r="D23" s="83"/>
      <c r="E23" s="83"/>
      <c r="F23" s="83"/>
    </row>
    <row r="24" customFormat="false" ht="18" hidden="false" customHeight="true" outlineLevel="0" collapsed="false">
      <c r="A24" s="83" t="s">
        <v>124</v>
      </c>
      <c r="B24" s="83"/>
      <c r="C24" s="83"/>
      <c r="D24" s="83"/>
      <c r="E24" s="83"/>
      <c r="F24" s="83"/>
    </row>
    <row r="25" customFormat="false" ht="18" hidden="false" customHeight="true" outlineLevel="0" collapsed="false">
      <c r="A25" s="83" t="s">
        <v>125</v>
      </c>
      <c r="B25" s="83"/>
      <c r="C25" s="83"/>
      <c r="D25" s="83"/>
      <c r="E25" s="83"/>
      <c r="F25" s="83"/>
    </row>
    <row r="26" customFormat="false" ht="18" hidden="false" customHeight="true" outlineLevel="0" collapsed="false">
      <c r="A26" s="83" t="s">
        <v>126</v>
      </c>
      <c r="B26" s="83"/>
      <c r="C26" s="83"/>
      <c r="D26" s="83"/>
      <c r="E26" s="83"/>
      <c r="F26" s="83"/>
    </row>
    <row r="28" customFormat="false" ht="24" hidden="false" customHeight="true" outlineLevel="0" collapsed="false">
      <c r="A28" s="84" t="s">
        <v>127</v>
      </c>
      <c r="B28" s="84"/>
      <c r="C28" s="84"/>
      <c r="D28" s="84"/>
      <c r="E28" s="84"/>
      <c r="F28" s="84"/>
    </row>
    <row r="29" customFormat="false" ht="18" hidden="false" customHeight="true" outlineLevel="0" collapsed="false">
      <c r="A29" s="85" t="s">
        <v>128</v>
      </c>
      <c r="B29" s="85"/>
      <c r="C29" s="85"/>
      <c r="D29" s="85"/>
      <c r="E29" s="85"/>
      <c r="F29" s="85"/>
    </row>
    <row r="30" customFormat="false" ht="18" hidden="false" customHeight="true" outlineLevel="0" collapsed="false">
      <c r="A30" s="85" t="s">
        <v>129</v>
      </c>
      <c r="B30" s="85"/>
      <c r="C30" s="85"/>
      <c r="D30" s="85"/>
      <c r="E30" s="85"/>
      <c r="F30" s="85"/>
    </row>
    <row r="31" customFormat="false" ht="18" hidden="false" customHeight="true" outlineLevel="0" collapsed="false">
      <c r="A31" s="85" t="s">
        <v>130</v>
      </c>
      <c r="B31" s="85"/>
      <c r="C31" s="85"/>
      <c r="D31" s="85"/>
      <c r="E31" s="85"/>
      <c r="F31" s="85"/>
    </row>
    <row r="32" customFormat="false" ht="18" hidden="false" customHeight="true" outlineLevel="0" collapsed="false">
      <c r="A32" s="85" t="s">
        <v>131</v>
      </c>
      <c r="B32" s="85"/>
      <c r="C32" s="85"/>
      <c r="D32" s="85"/>
      <c r="E32" s="85"/>
      <c r="F32" s="85"/>
    </row>
  </sheetData>
  <mergeCells count="26">
    <mergeCell ref="A1:F2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6:F16"/>
    <mergeCell ref="A17:F17"/>
    <mergeCell ref="A18:F18"/>
    <mergeCell ref="A19:F19"/>
    <mergeCell ref="A20:F20"/>
    <mergeCell ref="A22:F22"/>
    <mergeCell ref="A23:F23"/>
    <mergeCell ref="A24:F24"/>
    <mergeCell ref="A25:F25"/>
    <mergeCell ref="A26:F26"/>
    <mergeCell ref="A28:F28"/>
    <mergeCell ref="A29:F29"/>
    <mergeCell ref="A30:F30"/>
    <mergeCell ref="A31:F31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2026-04-06T13:27:54Z</dcterms:created>
  <dc:creator>openpyxl</dc:creator>
  <dc:description/>
  <dc:language>en-US</dc:language>
  <cp:lastModifiedBy/>
  <dcterms:modified xsi:type="dcterms:W3CDTF">2026-04-06T20:27:58Z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