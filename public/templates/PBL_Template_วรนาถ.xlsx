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กรอกคะแนน" sheetId="1" state="visible" r:id="rId1"/>
    <sheet name="📤 ATLAS Import" sheetId="2" state="visible" r:id="rId2"/>
    <sheet name="📖 คู่มือ"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FFFFFF"/>
      <sz val="14"/>
    </font>
    <font>
      <name val="Arial"/>
      <b val="1"/>
      <color rgb="00FFFFFF"/>
      <sz val="10"/>
    </font>
    <font>
      <name val="Arial"/>
      <b val="1"/>
      <color rgb="00FFFFFF"/>
      <sz val="9"/>
    </font>
    <font>
      <name val="Arial"/>
      <sz val="9"/>
    </font>
    <font>
      <name val="Arial"/>
      <b val="1"/>
      <sz val="11"/>
    </font>
    <font>
      <name val="Arial"/>
      <b val="1"/>
      <sz val="10"/>
    </font>
    <font>
      <name val="Arial"/>
      <b val="1"/>
      <sz val="9"/>
    </font>
    <font>
      <name val="Arial"/>
      <b val="1"/>
      <color rgb="00FFFFFF"/>
      <sz val="11"/>
    </font>
    <font>
      <name val="Arial"/>
      <i val="1"/>
      <sz val="9"/>
    </font>
    <font>
      <name val="Arial"/>
      <b val="1"/>
      <color rgb="00FFFFFF"/>
      <sz val="13"/>
    </font>
    <font>
      <name val="Arial"/>
      <b val="1"/>
      <color rgb="00145A32"/>
      <sz val="10"/>
    </font>
  </fonts>
  <fills count="10">
    <fill>
      <patternFill/>
    </fill>
    <fill>
      <patternFill patternType="gray125"/>
    </fill>
    <fill>
      <patternFill patternType="solid">
        <fgColor rgb="001E3A5F"/>
      </patternFill>
    </fill>
    <fill>
      <patternFill patternType="solid">
        <fgColor rgb="002E86AB"/>
      </patternFill>
    </fill>
    <fill>
      <patternFill patternType="solid">
        <fgColor rgb="00FFF9C4"/>
      </patternFill>
    </fill>
    <fill>
      <patternFill patternType="solid">
        <fgColor rgb="00FFFFFF"/>
      </patternFill>
    </fill>
    <fill>
      <patternFill patternType="solid">
        <fgColor rgb="00F2F3F4"/>
      </patternFill>
    </fill>
    <fill>
      <patternFill patternType="solid">
        <fgColor rgb="001A5276"/>
      </patternFill>
    </fill>
    <fill>
      <patternFill patternType="solid">
        <fgColor rgb="00D5F5E3"/>
      </patternFill>
    </fill>
    <fill>
      <patternFill patternType="solid">
        <fgColor rgb="00F8F9FA"/>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4" borderId="1" applyAlignment="1" pivotButton="0" quotePrefix="0" xfId="0">
      <alignment horizontal="left" vertical="center" wrapText="1"/>
    </xf>
    <xf numFmtId="0" fontId="2" fillId="4"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5" borderId="1" applyAlignment="1" pivotButton="0" quotePrefix="0" xfId="0">
      <alignment horizontal="center" vertical="center"/>
    </xf>
    <xf numFmtId="0" fontId="4" fillId="4" borderId="1" applyAlignment="1" pivotButton="0" quotePrefix="0" xfId="0">
      <alignment horizontal="left" vertical="center" wrapText="1"/>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0" borderId="1" applyAlignment="1" pivotButton="0" quotePrefix="0" xfId="0">
      <alignment horizontal="center" vertical="center"/>
    </xf>
    <xf numFmtId="0" fontId="4" fillId="6" borderId="1" applyAlignment="1" pivotButton="0" quotePrefix="0" xfId="0">
      <alignment horizontal="center" vertical="center"/>
    </xf>
    <xf numFmtId="0" fontId="6" fillId="6" borderId="1"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wrapText="1"/>
    </xf>
    <xf numFmtId="0" fontId="7" fillId="0" borderId="0" applyAlignment="1" pivotButton="0" quotePrefix="0" xfId="0">
      <alignment horizontal="center" vertical="center"/>
    </xf>
    <xf numFmtId="164" fontId="6" fillId="0" borderId="1" applyAlignment="1" pivotButton="0" quotePrefix="0" xfId="0">
      <alignment horizontal="center" vertical="center"/>
    </xf>
    <xf numFmtId="0" fontId="8" fillId="7" borderId="0" applyAlignment="1" pivotButton="0" quotePrefix="0" xfId="0">
      <alignment horizontal="center" vertical="center"/>
    </xf>
    <xf numFmtId="0" fontId="3" fillId="7" borderId="1" applyAlignment="1" pivotButton="0" quotePrefix="0" xfId="0">
      <alignment horizontal="center" vertical="center"/>
    </xf>
    <xf numFmtId="0" fontId="4" fillId="6" borderId="1" applyAlignment="1" pivotButton="0" quotePrefix="0" xfId="0">
      <alignment horizontal="left" vertical="center" wrapText="1"/>
    </xf>
    <xf numFmtId="0" fontId="4" fillId="5" borderId="1" applyAlignment="1" pivotButton="0" quotePrefix="0" xfId="0">
      <alignment horizontal="left" vertical="center" wrapText="1"/>
    </xf>
    <xf numFmtId="0" fontId="9" fillId="8" borderId="0" applyAlignment="1" pivotButton="0" quotePrefix="0" xfId="0">
      <alignment horizontal="left" vertical="center" wrapText="1"/>
    </xf>
    <xf numFmtId="0" fontId="10"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8" fillId="2" borderId="0" applyAlignment="1" pivotButton="0" quotePrefix="0" xfId="0">
      <alignment horizontal="center" vertical="center"/>
    </xf>
    <xf numFmtId="0" fontId="3" fillId="3" borderId="1" applyAlignment="1" pivotButton="0" quotePrefix="0" xfId="0">
      <alignment horizontal="center" vertical="center"/>
    </xf>
    <xf numFmtId="0" fontId="4" fillId="9" borderId="1" applyAlignment="1" pivotButton="0" quotePrefix="0" xfId="0">
      <alignment horizontal="left" vertical="center" wrapText="1"/>
    </xf>
    <xf numFmtId="0" fontId="11" fillId="8"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dxfs count="3">
    <dxf>
      <font>
        <name val="Arial"/>
        <b val="1"/>
        <color rgb="00145A32"/>
      </font>
      <fill>
        <patternFill patternType="solid">
          <fgColor rgb="00D5F5E3"/>
        </patternFill>
      </fill>
    </dxf>
    <dxf>
      <font>
        <name val="Arial"/>
        <b val="1"/>
        <color rgb="00922B21"/>
      </font>
      <fill>
        <patternFill patternType="solid">
          <fgColor rgb="00FADBD8"/>
        </patternFill>
      </fill>
    </dxf>
    <dxf>
      <font>
        <name val="Arial"/>
        <b val="1"/>
        <color rgb="007D6608"/>
      </font>
      <fill>
        <patternFill patternType="solid">
          <fgColor rgb="00FEF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ATLAS</author>
  </authors>
  <commentList>
    <comment ref="J2" authorId="0" shapeId="0">
      <text>
        <t>กรอกปีการศึกษา (พ.ศ.) ของเทอมที่กำลังกรอกจริง เช่น 2569
⚠️ ตรวจให้ตรงเทอมปัจจุบันทุกครั้ง — กรอกผิดระบบจะไม่ยอมให้นำเข้า</t>
      </text>
    </comment>
    <comment ref="L2" authorId="0" shapeId="0">
      <text>
        <t>กรอกภาคเรียน: 1 หรือ 2 (เลือกจาก dropdown)
⚠️ ตรวจให้ตรงเทอมปัจจุบันทุกครั้ง — กรอกผิดระบบจะไม่ยอมให้นำเข้า</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37"/>
  <sheetViews>
    <sheetView showGridLines="0" workbookViewId="0">
      <pane ySplit="4" topLeftCell="A5" activePane="bottomLeft" state="frozen"/>
      <selection pane="bottomLeft" activeCell="A1" sqref="A1"/>
    </sheetView>
  </sheetViews>
  <sheetFormatPr baseColWidth="8" defaultRowHeight="15"/>
  <cols>
    <col width="6" customWidth="1" min="1" max="1"/>
    <col width="13" customWidth="1" min="2" max="2"/>
    <col width="22" customWidth="1" min="3" max="3"/>
    <col width="12" customWidth="1" min="4" max="4"/>
    <col width="12" customWidth="1" min="5" max="5"/>
    <col width="14" customWidth="1" min="6" max="6"/>
    <col width="13" customWidth="1" min="7" max="7"/>
    <col width="13" customWidth="1" min="8" max="8"/>
    <col width="7" customWidth="1" min="9" max="9"/>
    <col width="14" customWidth="1" min="10" max="10"/>
    <col width="28" customWidth="1" min="11" max="11"/>
  </cols>
  <sheetData>
    <row r="1" ht="32" customHeight="1">
      <c r="A1" s="1" t="inlineStr">
        <is>
          <t>📋  แบบบันทึกคะแนนสมรรถนะ PBL  |  โรงเรียนวรนาถวิทยากำแพงเพชร</t>
        </is>
      </c>
    </row>
    <row r="2" ht="24" customHeight="1">
      <c r="A2" s="2" t="inlineStr">
        <is>
          <t>ชื่อโปรเจกต์</t>
        </is>
      </c>
      <c r="C2" s="3" t="n"/>
      <c r="D2" s="2" t="inlineStr">
        <is>
          <t>ชั้น/ห้อง</t>
        </is>
      </c>
      <c r="F2" s="3" t="n"/>
      <c r="G2" s="2" t="inlineStr">
        <is>
          <t>ครูผู้รับผิดชอบ</t>
        </is>
      </c>
      <c r="I2" s="3" t="n"/>
      <c r="J2" s="4" t="n"/>
      <c r="K2" s="4" t="inlineStr">
        <is>
          <t>เดือน</t>
        </is>
      </c>
      <c r="L2" s="4" t="n"/>
    </row>
    <row r="3" ht="6" customHeight="1"/>
    <row r="4" ht="36" customHeight="1">
      <c r="A4" s="5" t="inlineStr">
        <is>
          <t>เลขที่</t>
        </is>
      </c>
      <c r="B4" s="5" t="inlineStr">
        <is>
          <t>รหัสนักเรียน</t>
        </is>
      </c>
      <c r="C4" s="5" t="inlineStr">
        <is>
          <t>ชื่อ-สกุล</t>
        </is>
      </c>
      <c r="D4" s="5" t="inlineStr">
        <is>
          <t>1.การสื่อสาร
(1-3)</t>
        </is>
      </c>
      <c r="E4" s="5" t="inlineStr">
        <is>
          <t>2.การคิด
(1-3)</t>
        </is>
      </c>
      <c r="F4" s="5" t="inlineStr">
        <is>
          <t>3.การแก้ปัญหา
(1-3)</t>
        </is>
      </c>
      <c r="G4" s="5" t="inlineStr">
        <is>
          <t>4.ทักษะชีวิต
(1-3)</t>
        </is>
      </c>
      <c r="H4" s="5" t="inlineStr">
        <is>
          <t>5.เทคโนโลยี
(1-3)</t>
        </is>
      </c>
      <c r="I4" s="5" t="inlineStr">
        <is>
          <t>รวม</t>
        </is>
      </c>
      <c r="J4" s="5" t="inlineStr">
        <is>
          <t>สรุปผล</t>
        </is>
      </c>
      <c r="K4" s="5" t="inlineStr">
        <is>
          <t>หมายเหตุ /
แผนพัฒนา</t>
        </is>
      </c>
    </row>
    <row r="5">
      <c r="A5" s="6" t="n">
        <v>1</v>
      </c>
      <c r="B5" s="7" t="n"/>
      <c r="C5" s="7" t="n"/>
      <c r="D5" s="8" t="n"/>
      <c r="E5" s="8" t="n"/>
      <c r="F5" s="8" t="n"/>
      <c r="G5" s="8" t="n"/>
      <c r="H5" s="8" t="n"/>
      <c r="I5" s="9">
        <f>IF(COUNTA(D5:H5)=5,SUM(D5:H5),"")</f>
        <v/>
      </c>
      <c r="J5" s="10">
        <f>IF(COUNTA(D5:H5)&lt;5,"",IF(AND(COUNTIF(D5:H5,1)=0,COUNTIF(D5:H5,3)&gt;=3),"✅ ดีเยี่ยม",IF(COUNTIF(D5:H5,1)&gt;0,"❌ ไม่ผ่าน","⬜ ผ่าน")))</f>
        <v/>
      </c>
      <c r="K5" s="7" t="n"/>
    </row>
    <row r="6">
      <c r="A6" s="11" t="n">
        <v>2</v>
      </c>
      <c r="B6" s="7" t="n"/>
      <c r="C6" s="7" t="n"/>
      <c r="D6" s="8" t="n"/>
      <c r="E6" s="8" t="n"/>
      <c r="F6" s="8" t="n"/>
      <c r="G6" s="8" t="n"/>
      <c r="H6" s="8" t="n"/>
      <c r="I6" s="12">
        <f>IF(COUNTA(D6:H6)=5,SUM(D6:H6),"")</f>
        <v/>
      </c>
      <c r="J6" s="10">
        <f>IF(COUNTA(D6:H6)&lt;5,"",IF(AND(COUNTIF(D6:H6,1)=0,COUNTIF(D6:H6,3)&gt;=3),"✅ ดีเยี่ยม",IF(COUNTIF(D6:H6,1)&gt;0,"❌ ไม่ผ่าน","⬜ ผ่าน")))</f>
        <v/>
      </c>
      <c r="K6" s="7" t="n"/>
    </row>
    <row r="7">
      <c r="A7" s="6" t="n">
        <v>3</v>
      </c>
      <c r="B7" s="7" t="n"/>
      <c r="C7" s="7" t="n"/>
      <c r="D7" s="8" t="n"/>
      <c r="E7" s="8" t="n"/>
      <c r="F7" s="8" t="n"/>
      <c r="G7" s="8" t="n"/>
      <c r="H7" s="8" t="n"/>
      <c r="I7" s="9">
        <f>IF(COUNTA(D7:H7)=5,SUM(D7:H7),"")</f>
        <v/>
      </c>
      <c r="J7" s="10">
        <f>IF(COUNTA(D7:H7)&lt;5,"",IF(AND(COUNTIF(D7:H7,1)=0,COUNTIF(D7:H7,3)&gt;=3),"✅ ดีเยี่ยม",IF(COUNTIF(D7:H7,1)&gt;0,"❌ ไม่ผ่าน","⬜ ผ่าน")))</f>
        <v/>
      </c>
      <c r="K7" s="7" t="n"/>
    </row>
    <row r="8">
      <c r="A8" s="11" t="n">
        <v>4</v>
      </c>
      <c r="B8" s="7" t="n"/>
      <c r="C8" s="7" t="n"/>
      <c r="D8" s="8" t="n"/>
      <c r="E8" s="8" t="n"/>
      <c r="F8" s="8" t="n"/>
      <c r="G8" s="8" t="n"/>
      <c r="H8" s="8" t="n"/>
      <c r="I8" s="12">
        <f>IF(COUNTA(D8:H8)=5,SUM(D8:H8),"")</f>
        <v/>
      </c>
      <c r="J8" s="10">
        <f>IF(COUNTA(D8:H8)&lt;5,"",IF(AND(COUNTIF(D8:H8,1)=0,COUNTIF(D8:H8,3)&gt;=3),"✅ ดีเยี่ยม",IF(COUNTIF(D8:H8,1)&gt;0,"❌ ไม่ผ่าน","⬜ ผ่าน")))</f>
        <v/>
      </c>
      <c r="K8" s="7" t="n"/>
    </row>
    <row r="9">
      <c r="A9" s="6" t="n">
        <v>5</v>
      </c>
      <c r="B9" s="7" t="n"/>
      <c r="C9" s="7" t="n"/>
      <c r="D9" s="8" t="n"/>
      <c r="E9" s="8" t="n"/>
      <c r="F9" s="8" t="n"/>
      <c r="G9" s="8" t="n"/>
      <c r="H9" s="8" t="n"/>
      <c r="I9" s="9">
        <f>IF(COUNTA(D9:H9)=5,SUM(D9:H9),"")</f>
        <v/>
      </c>
      <c r="J9" s="10">
        <f>IF(COUNTA(D9:H9)&lt;5,"",IF(AND(COUNTIF(D9:H9,1)=0,COUNTIF(D9:H9,3)&gt;=3),"✅ ดีเยี่ยม",IF(COUNTIF(D9:H9,1)&gt;0,"❌ ไม่ผ่าน","⬜ ผ่าน")))</f>
        <v/>
      </c>
      <c r="K9" s="7" t="n"/>
    </row>
    <row r="10">
      <c r="A10" s="11" t="n">
        <v>6</v>
      </c>
      <c r="B10" s="7" t="n"/>
      <c r="C10" s="7" t="n"/>
      <c r="D10" s="8" t="n"/>
      <c r="E10" s="8" t="n"/>
      <c r="F10" s="8" t="n"/>
      <c r="G10" s="8" t="n"/>
      <c r="H10" s="8" t="n"/>
      <c r="I10" s="12">
        <f>IF(COUNTA(D10:H10)=5,SUM(D10:H10),"")</f>
        <v/>
      </c>
      <c r="J10" s="10">
        <f>IF(COUNTA(D10:H10)&lt;5,"",IF(AND(COUNTIF(D10:H10,1)=0,COUNTIF(D10:H10,3)&gt;=3),"✅ ดีเยี่ยม",IF(COUNTIF(D10:H10,1)&gt;0,"❌ ไม่ผ่าน","⬜ ผ่าน")))</f>
        <v/>
      </c>
      <c r="K10" s="7" t="n"/>
    </row>
    <row r="11">
      <c r="A11" s="6" t="n">
        <v>7</v>
      </c>
      <c r="B11" s="7" t="n"/>
      <c r="C11" s="7" t="n"/>
      <c r="D11" s="8" t="n"/>
      <c r="E11" s="8" t="n"/>
      <c r="F11" s="8" t="n"/>
      <c r="G11" s="8" t="n"/>
      <c r="H11" s="8" t="n"/>
      <c r="I11" s="9">
        <f>IF(COUNTA(D11:H11)=5,SUM(D11:H11),"")</f>
        <v/>
      </c>
      <c r="J11" s="10">
        <f>IF(COUNTA(D11:H11)&lt;5,"",IF(AND(COUNTIF(D11:H11,1)=0,COUNTIF(D11:H11,3)&gt;=3),"✅ ดีเยี่ยม",IF(COUNTIF(D11:H11,1)&gt;0,"❌ ไม่ผ่าน","⬜ ผ่าน")))</f>
        <v/>
      </c>
      <c r="K11" s="7" t="n"/>
    </row>
    <row r="12">
      <c r="A12" s="11" t="n">
        <v>8</v>
      </c>
      <c r="B12" s="7" t="n"/>
      <c r="C12" s="7" t="n"/>
      <c r="D12" s="8" t="n"/>
      <c r="E12" s="8" t="n"/>
      <c r="F12" s="8" t="n"/>
      <c r="G12" s="8" t="n"/>
      <c r="H12" s="8" t="n"/>
      <c r="I12" s="12">
        <f>IF(COUNTA(D12:H12)=5,SUM(D12:H12),"")</f>
        <v/>
      </c>
      <c r="J12" s="10">
        <f>IF(COUNTA(D12:H12)&lt;5,"",IF(AND(COUNTIF(D12:H12,1)=0,COUNTIF(D12:H12,3)&gt;=3),"✅ ดีเยี่ยม",IF(COUNTIF(D12:H12,1)&gt;0,"❌ ไม่ผ่าน","⬜ ผ่าน")))</f>
        <v/>
      </c>
      <c r="K12" s="7" t="n"/>
    </row>
    <row r="13">
      <c r="A13" s="6" t="n">
        <v>9</v>
      </c>
      <c r="B13" s="7" t="n"/>
      <c r="C13" s="7" t="n"/>
      <c r="D13" s="8" t="n"/>
      <c r="E13" s="8" t="n"/>
      <c r="F13" s="8" t="n"/>
      <c r="G13" s="8" t="n"/>
      <c r="H13" s="8" t="n"/>
      <c r="I13" s="9">
        <f>IF(COUNTA(D13:H13)=5,SUM(D13:H13),"")</f>
        <v/>
      </c>
      <c r="J13" s="10">
        <f>IF(COUNTA(D13:H13)&lt;5,"",IF(AND(COUNTIF(D13:H13,1)=0,COUNTIF(D13:H13,3)&gt;=3),"✅ ดีเยี่ยม",IF(COUNTIF(D13:H13,1)&gt;0,"❌ ไม่ผ่าน","⬜ ผ่าน")))</f>
        <v/>
      </c>
      <c r="K13" s="7" t="n"/>
    </row>
    <row r="14">
      <c r="A14" s="11" t="n">
        <v>10</v>
      </c>
      <c r="B14" s="7" t="n"/>
      <c r="C14" s="7" t="n"/>
      <c r="D14" s="8" t="n"/>
      <c r="E14" s="8" t="n"/>
      <c r="F14" s="8" t="n"/>
      <c r="G14" s="8" t="n"/>
      <c r="H14" s="8" t="n"/>
      <c r="I14" s="12">
        <f>IF(COUNTA(D14:H14)=5,SUM(D14:H14),"")</f>
        <v/>
      </c>
      <c r="J14" s="10">
        <f>IF(COUNTA(D14:H14)&lt;5,"",IF(AND(COUNTIF(D14:H14,1)=0,COUNTIF(D14:H14,3)&gt;=3),"✅ ดีเยี่ยม",IF(COUNTIF(D14:H14,1)&gt;0,"❌ ไม่ผ่าน","⬜ ผ่าน")))</f>
        <v/>
      </c>
      <c r="K14" s="7" t="n"/>
    </row>
    <row r="15">
      <c r="A15" s="6" t="n">
        <v>11</v>
      </c>
      <c r="B15" s="7" t="n"/>
      <c r="C15" s="7" t="n"/>
      <c r="D15" s="8" t="n"/>
      <c r="E15" s="8" t="n"/>
      <c r="F15" s="8" t="n"/>
      <c r="G15" s="8" t="n"/>
      <c r="H15" s="8" t="n"/>
      <c r="I15" s="9">
        <f>IF(COUNTA(D15:H15)=5,SUM(D15:H15),"")</f>
        <v/>
      </c>
      <c r="J15" s="10">
        <f>IF(COUNTA(D15:H15)&lt;5,"",IF(AND(COUNTIF(D15:H15,1)=0,COUNTIF(D15:H15,3)&gt;=3),"✅ ดีเยี่ยม",IF(COUNTIF(D15:H15,1)&gt;0,"❌ ไม่ผ่าน","⬜ ผ่าน")))</f>
        <v/>
      </c>
      <c r="K15" s="7" t="n"/>
    </row>
    <row r="16">
      <c r="A16" s="11" t="n">
        <v>12</v>
      </c>
      <c r="B16" s="7" t="n"/>
      <c r="C16" s="7" t="n"/>
      <c r="D16" s="8" t="n"/>
      <c r="E16" s="8" t="n"/>
      <c r="F16" s="8" t="n"/>
      <c r="G16" s="8" t="n"/>
      <c r="H16" s="8" t="n"/>
      <c r="I16" s="12">
        <f>IF(COUNTA(D16:H16)=5,SUM(D16:H16),"")</f>
        <v/>
      </c>
      <c r="J16" s="10">
        <f>IF(COUNTA(D16:H16)&lt;5,"",IF(AND(COUNTIF(D16:H16,1)=0,COUNTIF(D16:H16,3)&gt;=3),"✅ ดีเยี่ยม",IF(COUNTIF(D16:H16,1)&gt;0,"❌ ไม่ผ่าน","⬜ ผ่าน")))</f>
        <v/>
      </c>
      <c r="K16" s="7" t="n"/>
    </row>
    <row r="17">
      <c r="A17" s="6" t="n">
        <v>13</v>
      </c>
      <c r="B17" s="7" t="n"/>
      <c r="C17" s="7" t="n"/>
      <c r="D17" s="8" t="n"/>
      <c r="E17" s="8" t="n"/>
      <c r="F17" s="8" t="n"/>
      <c r="G17" s="8" t="n"/>
      <c r="H17" s="8" t="n"/>
      <c r="I17" s="9">
        <f>IF(COUNTA(D17:H17)=5,SUM(D17:H17),"")</f>
        <v/>
      </c>
      <c r="J17" s="10">
        <f>IF(COUNTA(D17:H17)&lt;5,"",IF(AND(COUNTIF(D17:H17,1)=0,COUNTIF(D17:H17,3)&gt;=3),"✅ ดีเยี่ยม",IF(COUNTIF(D17:H17,1)&gt;0,"❌ ไม่ผ่าน","⬜ ผ่าน")))</f>
        <v/>
      </c>
      <c r="K17" s="7" t="n"/>
    </row>
    <row r="18">
      <c r="A18" s="11" t="n">
        <v>14</v>
      </c>
      <c r="B18" s="7" t="n"/>
      <c r="C18" s="7" t="n"/>
      <c r="D18" s="8" t="n"/>
      <c r="E18" s="8" t="n"/>
      <c r="F18" s="8" t="n"/>
      <c r="G18" s="8" t="n"/>
      <c r="H18" s="8" t="n"/>
      <c r="I18" s="12">
        <f>IF(COUNTA(D18:H18)=5,SUM(D18:H18),"")</f>
        <v/>
      </c>
      <c r="J18" s="10">
        <f>IF(COUNTA(D18:H18)&lt;5,"",IF(AND(COUNTIF(D18:H18,1)=0,COUNTIF(D18:H18,3)&gt;=3),"✅ ดีเยี่ยม",IF(COUNTIF(D18:H18,1)&gt;0,"❌ ไม่ผ่าน","⬜ ผ่าน")))</f>
        <v/>
      </c>
      <c r="K18" s="7" t="n"/>
    </row>
    <row r="19">
      <c r="A19" s="6" t="n">
        <v>15</v>
      </c>
      <c r="B19" s="7" t="n"/>
      <c r="C19" s="7" t="n"/>
      <c r="D19" s="8" t="n"/>
      <c r="E19" s="8" t="n"/>
      <c r="F19" s="8" t="n"/>
      <c r="G19" s="8" t="n"/>
      <c r="H19" s="8" t="n"/>
      <c r="I19" s="9">
        <f>IF(COUNTA(D19:H19)=5,SUM(D19:H19),"")</f>
        <v/>
      </c>
      <c r="J19" s="10">
        <f>IF(COUNTA(D19:H19)&lt;5,"",IF(AND(COUNTIF(D19:H19,1)=0,COUNTIF(D19:H19,3)&gt;=3),"✅ ดีเยี่ยม",IF(COUNTIF(D19:H19,1)&gt;0,"❌ ไม่ผ่าน","⬜ ผ่าน")))</f>
        <v/>
      </c>
      <c r="K19" s="7" t="n"/>
    </row>
    <row r="20">
      <c r="A20" s="11" t="n">
        <v>16</v>
      </c>
      <c r="B20" s="7" t="n"/>
      <c r="C20" s="7" t="n"/>
      <c r="D20" s="8" t="n"/>
      <c r="E20" s="8" t="n"/>
      <c r="F20" s="8" t="n"/>
      <c r="G20" s="8" t="n"/>
      <c r="H20" s="8" t="n"/>
      <c r="I20" s="12">
        <f>IF(COUNTA(D20:H20)=5,SUM(D20:H20),"")</f>
        <v/>
      </c>
      <c r="J20" s="10">
        <f>IF(COUNTA(D20:H20)&lt;5,"",IF(AND(COUNTIF(D20:H20,1)=0,COUNTIF(D20:H20,3)&gt;=3),"✅ ดีเยี่ยม",IF(COUNTIF(D20:H20,1)&gt;0,"❌ ไม่ผ่าน","⬜ ผ่าน")))</f>
        <v/>
      </c>
      <c r="K20" s="7" t="n"/>
    </row>
    <row r="21">
      <c r="A21" s="6" t="n">
        <v>17</v>
      </c>
      <c r="B21" s="7" t="n"/>
      <c r="C21" s="7" t="n"/>
      <c r="D21" s="8" t="n"/>
      <c r="E21" s="8" t="n"/>
      <c r="F21" s="8" t="n"/>
      <c r="G21" s="8" t="n"/>
      <c r="H21" s="8" t="n"/>
      <c r="I21" s="9">
        <f>IF(COUNTA(D21:H21)=5,SUM(D21:H21),"")</f>
        <v/>
      </c>
      <c r="J21" s="10">
        <f>IF(COUNTA(D21:H21)&lt;5,"",IF(AND(COUNTIF(D21:H21,1)=0,COUNTIF(D21:H21,3)&gt;=3),"✅ ดีเยี่ยม",IF(COUNTIF(D21:H21,1)&gt;0,"❌ ไม่ผ่าน","⬜ ผ่าน")))</f>
        <v/>
      </c>
      <c r="K21" s="7" t="n"/>
    </row>
    <row r="22">
      <c r="A22" s="11" t="n">
        <v>18</v>
      </c>
      <c r="B22" s="7" t="n"/>
      <c r="C22" s="7" t="n"/>
      <c r="D22" s="8" t="n"/>
      <c r="E22" s="8" t="n"/>
      <c r="F22" s="8" t="n"/>
      <c r="G22" s="8" t="n"/>
      <c r="H22" s="8" t="n"/>
      <c r="I22" s="12">
        <f>IF(COUNTA(D22:H22)=5,SUM(D22:H22),"")</f>
        <v/>
      </c>
      <c r="J22" s="10">
        <f>IF(COUNTA(D22:H22)&lt;5,"",IF(AND(COUNTIF(D22:H22,1)=0,COUNTIF(D22:H22,3)&gt;=3),"✅ ดีเยี่ยม",IF(COUNTIF(D22:H22,1)&gt;0,"❌ ไม่ผ่าน","⬜ ผ่าน")))</f>
        <v/>
      </c>
      <c r="K22" s="7" t="n"/>
    </row>
    <row r="23">
      <c r="A23" s="6" t="n">
        <v>19</v>
      </c>
      <c r="B23" s="7" t="n"/>
      <c r="C23" s="7" t="n"/>
      <c r="D23" s="8" t="n"/>
      <c r="E23" s="8" t="n"/>
      <c r="F23" s="8" t="n"/>
      <c r="G23" s="8" t="n"/>
      <c r="H23" s="8" t="n"/>
      <c r="I23" s="9">
        <f>IF(COUNTA(D23:H23)=5,SUM(D23:H23),"")</f>
        <v/>
      </c>
      <c r="J23" s="10">
        <f>IF(COUNTA(D23:H23)&lt;5,"",IF(AND(COUNTIF(D23:H23,1)=0,COUNTIF(D23:H23,3)&gt;=3),"✅ ดีเยี่ยม",IF(COUNTIF(D23:H23,1)&gt;0,"❌ ไม่ผ่าน","⬜ ผ่าน")))</f>
        <v/>
      </c>
      <c r="K23" s="7" t="n"/>
    </row>
    <row r="24">
      <c r="A24" s="11" t="n">
        <v>20</v>
      </c>
      <c r="B24" s="7" t="n"/>
      <c r="C24" s="7" t="n"/>
      <c r="D24" s="8" t="n"/>
      <c r="E24" s="8" t="n"/>
      <c r="F24" s="8" t="n"/>
      <c r="G24" s="8" t="n"/>
      <c r="H24" s="8" t="n"/>
      <c r="I24" s="12">
        <f>IF(COUNTA(D24:H24)=5,SUM(D24:H24),"")</f>
        <v/>
      </c>
      <c r="J24" s="10">
        <f>IF(COUNTA(D24:H24)&lt;5,"",IF(AND(COUNTIF(D24:H24,1)=0,COUNTIF(D24:H24,3)&gt;=3),"✅ ดีเยี่ยม",IF(COUNTIF(D24:H24,1)&gt;0,"❌ ไม่ผ่าน","⬜ ผ่าน")))</f>
        <v/>
      </c>
      <c r="K24" s="7" t="n"/>
    </row>
    <row r="25">
      <c r="A25" s="6" t="n">
        <v>21</v>
      </c>
      <c r="B25" s="7" t="n"/>
      <c r="C25" s="7" t="n"/>
      <c r="D25" s="8" t="n"/>
      <c r="E25" s="8" t="n"/>
      <c r="F25" s="8" t="n"/>
      <c r="G25" s="8" t="n"/>
      <c r="H25" s="8" t="n"/>
      <c r="I25" s="9">
        <f>IF(COUNTA(D25:H25)=5,SUM(D25:H25),"")</f>
        <v/>
      </c>
      <c r="J25" s="10">
        <f>IF(COUNTA(D25:H25)&lt;5,"",IF(AND(COUNTIF(D25:H25,1)=0,COUNTIF(D25:H25,3)&gt;=3),"✅ ดีเยี่ยม",IF(COUNTIF(D25:H25,1)&gt;0,"❌ ไม่ผ่าน","⬜ ผ่าน")))</f>
        <v/>
      </c>
      <c r="K25" s="7" t="n"/>
    </row>
    <row r="26">
      <c r="A26" s="11" t="n">
        <v>22</v>
      </c>
      <c r="B26" s="7" t="n"/>
      <c r="C26" s="7" t="n"/>
      <c r="D26" s="8" t="n"/>
      <c r="E26" s="8" t="n"/>
      <c r="F26" s="8" t="n"/>
      <c r="G26" s="8" t="n"/>
      <c r="H26" s="8" t="n"/>
      <c r="I26" s="12">
        <f>IF(COUNTA(D26:H26)=5,SUM(D26:H26),"")</f>
        <v/>
      </c>
      <c r="J26" s="10">
        <f>IF(COUNTA(D26:H26)&lt;5,"",IF(AND(COUNTIF(D26:H26,1)=0,COUNTIF(D26:H26,3)&gt;=3),"✅ ดีเยี่ยม",IF(COUNTIF(D26:H26,1)&gt;0,"❌ ไม่ผ่าน","⬜ ผ่าน")))</f>
        <v/>
      </c>
      <c r="K26" s="7" t="n"/>
    </row>
    <row r="27">
      <c r="A27" s="6" t="n">
        <v>23</v>
      </c>
      <c r="B27" s="7" t="n"/>
      <c r="C27" s="7" t="n"/>
      <c r="D27" s="8" t="n"/>
      <c r="E27" s="8" t="n"/>
      <c r="F27" s="8" t="n"/>
      <c r="G27" s="8" t="n"/>
      <c r="H27" s="8" t="n"/>
      <c r="I27" s="9">
        <f>IF(COUNTA(D27:H27)=5,SUM(D27:H27),"")</f>
        <v/>
      </c>
      <c r="J27" s="10">
        <f>IF(COUNTA(D27:H27)&lt;5,"",IF(AND(COUNTIF(D27:H27,1)=0,COUNTIF(D27:H27,3)&gt;=3),"✅ ดีเยี่ยม",IF(COUNTIF(D27:H27,1)&gt;0,"❌ ไม่ผ่าน","⬜ ผ่าน")))</f>
        <v/>
      </c>
      <c r="K27" s="7" t="n"/>
    </row>
    <row r="28">
      <c r="A28" s="11" t="n">
        <v>24</v>
      </c>
      <c r="B28" s="7" t="n"/>
      <c r="C28" s="7" t="n"/>
      <c r="D28" s="8" t="n"/>
      <c r="E28" s="8" t="n"/>
      <c r="F28" s="8" t="n"/>
      <c r="G28" s="8" t="n"/>
      <c r="H28" s="8" t="n"/>
      <c r="I28" s="12">
        <f>IF(COUNTA(D28:H28)=5,SUM(D28:H28),"")</f>
        <v/>
      </c>
      <c r="J28" s="10">
        <f>IF(COUNTA(D28:H28)&lt;5,"",IF(AND(COUNTIF(D28:H28,1)=0,COUNTIF(D28:H28,3)&gt;=3),"✅ ดีเยี่ยม",IF(COUNTIF(D28:H28,1)&gt;0,"❌ ไม่ผ่าน","⬜ ผ่าน")))</f>
        <v/>
      </c>
      <c r="K28" s="7" t="n"/>
    </row>
    <row r="29">
      <c r="A29" s="6" t="n">
        <v>25</v>
      </c>
      <c r="B29" s="7" t="n"/>
      <c r="C29" s="7" t="n"/>
      <c r="D29" s="8" t="n"/>
      <c r="E29" s="8" t="n"/>
      <c r="F29" s="8" t="n"/>
      <c r="G29" s="8" t="n"/>
      <c r="H29" s="8" t="n"/>
      <c r="I29" s="9">
        <f>IF(COUNTA(D29:H29)=5,SUM(D29:H29),"")</f>
        <v/>
      </c>
      <c r="J29" s="10">
        <f>IF(COUNTA(D29:H29)&lt;5,"",IF(AND(COUNTIF(D29:H29,1)=0,COUNTIF(D29:H29,3)&gt;=3),"✅ ดีเยี่ยม",IF(COUNTIF(D29:H29,1)&gt;0,"❌ ไม่ผ่าน","⬜ ผ่าน")))</f>
        <v/>
      </c>
      <c r="K29" s="7" t="n"/>
    </row>
    <row r="30">
      <c r="A30" s="11" t="n">
        <v>26</v>
      </c>
      <c r="B30" s="7" t="n"/>
      <c r="C30" s="7" t="n"/>
      <c r="D30" s="8" t="n"/>
      <c r="E30" s="8" t="n"/>
      <c r="F30" s="8" t="n"/>
      <c r="G30" s="8" t="n"/>
      <c r="H30" s="8" t="n"/>
      <c r="I30" s="12">
        <f>IF(COUNTA(D30:H30)=5,SUM(D30:H30),"")</f>
        <v/>
      </c>
      <c r="J30" s="10">
        <f>IF(COUNTA(D30:H30)&lt;5,"",IF(AND(COUNTIF(D30:H30,1)=0,COUNTIF(D30:H30,3)&gt;=3),"✅ ดีเยี่ยม",IF(COUNTIF(D30:H30,1)&gt;0,"❌ ไม่ผ่าน","⬜ ผ่าน")))</f>
        <v/>
      </c>
      <c r="K30" s="7" t="n"/>
    </row>
    <row r="31">
      <c r="A31" s="6" t="n">
        <v>27</v>
      </c>
      <c r="B31" s="7" t="n"/>
      <c r="C31" s="7" t="n"/>
      <c r="D31" s="8" t="n"/>
      <c r="E31" s="8" t="n"/>
      <c r="F31" s="8" t="n"/>
      <c r="G31" s="8" t="n"/>
      <c r="H31" s="8" t="n"/>
      <c r="I31" s="9">
        <f>IF(COUNTA(D31:H31)=5,SUM(D31:H31),"")</f>
        <v/>
      </c>
      <c r="J31" s="10">
        <f>IF(COUNTA(D31:H31)&lt;5,"",IF(AND(COUNTIF(D31:H31,1)=0,COUNTIF(D31:H31,3)&gt;=3),"✅ ดีเยี่ยม",IF(COUNTIF(D31:H31,1)&gt;0,"❌ ไม่ผ่าน","⬜ ผ่าน")))</f>
        <v/>
      </c>
      <c r="K31" s="7" t="n"/>
    </row>
    <row r="32">
      <c r="A32" s="11" t="n">
        <v>28</v>
      </c>
      <c r="B32" s="7" t="n"/>
      <c r="C32" s="7" t="n"/>
      <c r="D32" s="8" t="n"/>
      <c r="E32" s="8" t="n"/>
      <c r="F32" s="8" t="n"/>
      <c r="G32" s="8" t="n"/>
      <c r="H32" s="8" t="n"/>
      <c r="I32" s="12">
        <f>IF(COUNTA(D32:H32)=5,SUM(D32:H32),"")</f>
        <v/>
      </c>
      <c r="J32" s="10">
        <f>IF(COUNTA(D32:H32)&lt;5,"",IF(AND(COUNTIF(D32:H32,1)=0,COUNTIF(D32:H32,3)&gt;=3),"✅ ดีเยี่ยม",IF(COUNTIF(D32:H32,1)&gt;0,"❌ ไม่ผ่าน","⬜ ผ่าน")))</f>
        <v/>
      </c>
      <c r="K32" s="7" t="n"/>
    </row>
    <row r="33">
      <c r="A33" s="6" t="n">
        <v>29</v>
      </c>
      <c r="B33" s="7" t="n"/>
      <c r="C33" s="7" t="n"/>
      <c r="D33" s="8" t="n"/>
      <c r="E33" s="8" t="n"/>
      <c r="F33" s="8" t="n"/>
      <c r="G33" s="8" t="n"/>
      <c r="H33" s="8" t="n"/>
      <c r="I33" s="9">
        <f>IF(COUNTA(D33:H33)=5,SUM(D33:H33),"")</f>
        <v/>
      </c>
      <c r="J33" s="10">
        <f>IF(COUNTA(D33:H33)&lt;5,"",IF(AND(COUNTIF(D33:H33,1)=0,COUNTIF(D33:H33,3)&gt;=3),"✅ ดีเยี่ยม",IF(COUNTIF(D33:H33,1)&gt;0,"❌ ไม่ผ่าน","⬜ ผ่าน")))</f>
        <v/>
      </c>
      <c r="K33" s="7" t="n"/>
    </row>
    <row r="34">
      <c r="A34" s="11" t="n">
        <v>30</v>
      </c>
      <c r="B34" s="7" t="n"/>
      <c r="C34" s="7" t="n"/>
      <c r="D34" s="8" t="n"/>
      <c r="E34" s="8" t="n"/>
      <c r="F34" s="8" t="n"/>
      <c r="G34" s="8" t="n"/>
      <c r="H34" s="8" t="n"/>
      <c r="I34" s="12">
        <f>IF(COUNTA(D34:H34)=5,SUM(D34:H34),"")</f>
        <v/>
      </c>
      <c r="J34" s="10">
        <f>IF(COUNTA(D34:H34)&lt;5,"",IF(AND(COUNTIF(D34:H34,1)=0,COUNTIF(D34:H34,3)&gt;=3),"✅ ดีเยี่ยม",IF(COUNTIF(D34:H34,1)&gt;0,"❌ ไม่ผ่าน","⬜ ผ่าน")))</f>
        <v/>
      </c>
      <c r="K34" s="7" t="n"/>
    </row>
    <row r="35" ht="8" customHeight="1"/>
    <row r="36" ht="28" customHeight="1">
      <c r="A36" s="13" t="inlineStr">
        <is>
          <t>สรุปผลห้องเรียน</t>
        </is>
      </c>
      <c r="D36" s="14" t="inlineStr">
        <is>
          <t>จำนวนนักเรียน</t>
        </is>
      </c>
      <c r="E36" s="8">
        <f>COUNTA(B5:B34)</f>
        <v/>
      </c>
      <c r="F36" s="14" t="inlineStr">
        <is>
          <t>ดีเยี่ยม (คน)</t>
        </is>
      </c>
      <c r="G36" s="8">
        <f>COUNTIF(J5:J34,"✅ ดีเยี่ยม")</f>
        <v/>
      </c>
      <c r="H36" s="14" t="inlineStr">
        <is>
          <t>ผ่าน (คน)</t>
        </is>
      </c>
      <c r="I36" s="8">
        <f>COUNTIF(J5:J34,"⬜ ผ่าน")</f>
        <v/>
      </c>
      <c r="J36" s="14" t="inlineStr">
        <is>
          <t>ไม่ผ่าน (คน)</t>
        </is>
      </c>
      <c r="K36" s="8">
        <f>COUNTIF(J5:J34,"❌ ไม่ผ่าน")</f>
        <v/>
      </c>
    </row>
    <row r="37" ht="22" customHeight="1">
      <c r="A37" s="15" t="inlineStr">
        <is>
          <t>คิดเป็นร้อยละ</t>
        </is>
      </c>
      <c r="G37" s="16">
        <f>IF(E36&gt;0,G36/E36,0)</f>
        <v/>
      </c>
      <c r="I37" s="16">
        <f>IF(E36&gt;0,I36/E36,0)</f>
        <v/>
      </c>
      <c r="K37" s="16">
        <f>IF(E36&gt;0,K36/E36,0)</f>
        <v/>
      </c>
    </row>
  </sheetData>
  <mergeCells count="6">
    <mergeCell ref="A36:C36"/>
    <mergeCell ref="A2:B2"/>
    <mergeCell ref="D2:E2"/>
    <mergeCell ref="G2:H2"/>
    <mergeCell ref="A37:C37"/>
    <mergeCell ref="A1:L1"/>
  </mergeCells>
  <conditionalFormatting sqref="J5:J34">
    <cfRule type="expression" priority="1" dxfId="0">
      <formula>=$J5="✅ ดีเยี่ยม"</formula>
    </cfRule>
    <cfRule type="expression" priority="2" dxfId="1">
      <formula>=$J5="❌ ไม่ผ่าน"</formula>
    </cfRule>
    <cfRule type="expression" priority="3" dxfId="2">
      <formula>=$J5="⬜ ผ่าน"</formula>
    </cfRule>
  </conditionalFormatting>
  <dataValidations count="2">
    <dataValidation sqref="D5 D6 D7 D8 D9 D10 D11 D12 D13 D14 D15 D16 D17 D18 D19 D20 D21 D22 D23 D24 D25 D26 D27 D28 D29 D30 D31 D32 D33 D34 E5 E6 E7 E8 E9 E10 E11 E12 E13 E14 E15 E16 E17 E18 E19 E20 E21 E22 E23 E24 E25 E26 E27 E28 E29 E30 E31 E32 E33 E34 F5 F6 F7 F8 F9 F10 F11 F12 F13 F14 F15 F16 F17 F18 F19 F20 F21 F22 F23 F24 F25 F26 F27 F28 F29 F30 F31 F32 F33 F34 G5 G6 G7 G8 G9 G10 G11 G12 G13 G14 G15 G16 G17 G18 G19 G20 G21 G22 G23 G24 G25 G26 G27 G28 G29 G30 G31 G32 G33 G34 H5 H6 H7 H8 H9 H10 H11 H12 H13 H14 H15 H16 H17 H18 H19 H20 H21 H22 H23 H24 H25 H26 H27 H28 H29 H30 H31 H32 H33 H34" showDropDown="0" showInputMessage="0" showErrorMessage="1" allowBlank="1" errorTitle="ค่าไม่ถูกต้อง" error="กรุณาเลือก 3 / 2 / 1" type="list">
      <formula1>"3,2,1"</formula1>
    </dataValidation>
    <dataValidation sqref="L2" showDropDown="0" showInputMessage="0" showErrorMessage="1" allowBlank="1" errorTitle="ภาคเรียนไม่ถูกต้อง" error="ภาคเรียนต้องเป็น 1 หรือ 2 เท่านั้น" promptTitle="ภาคเรียน" prompt="เลือกภาคเรียน 1 หรือ 2 ให้ตรงเทอมปัจจุบัน" type="list">
      <formula1>"1,2"</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34"/>
  <sheetViews>
    <sheetView showGridLines="0" workbookViewId="0">
      <pane ySplit="2" topLeftCell="A3" activePane="bottomLeft" state="frozen"/>
      <selection pane="bottomLeft" activeCell="A1" sqref="A1"/>
    </sheetView>
  </sheetViews>
  <sheetFormatPr baseColWidth="8" defaultRowHeight="15"/>
  <cols>
    <col width="13" customWidth="1" min="1" max="1"/>
    <col width="22" customWidth="1" min="2" max="2"/>
    <col width="10" customWidth="1" min="3" max="3"/>
    <col width="9" customWidth="1" min="4" max="4"/>
    <col width="18" customWidth="1" min="5" max="5"/>
    <col width="22" customWidth="1" min="6" max="6"/>
    <col width="10" customWidth="1" min="7" max="7"/>
    <col width="7" customWidth="1" min="8" max="8"/>
    <col width="10" customWidth="1" min="9" max="9"/>
    <col width="10" customWidth="1" min="10" max="10"/>
    <col width="13" customWidth="1" min="11" max="11"/>
    <col width="10" customWidth="1" min="12" max="12"/>
    <col width="11" customWidth="1" min="13" max="13"/>
    <col width="11" customWidth="1" min="14" max="14"/>
    <col width="14" customWidth="1" min="15" max="15"/>
    <col width="25" customWidth="1" min="16" max="16"/>
  </cols>
  <sheetData>
    <row r="1" ht="28" customHeight="1">
      <c r="A1" s="17" t="inlineStr">
        <is>
          <t>📤  ATLAS Import — สร้างอัตโนมัติจากแท็บ 'กรอกคะแนน'  |  ห้ามแก้ไขโดยตรง  |  Upload ได้เลย</t>
        </is>
      </c>
    </row>
    <row r="2" ht="24" customHeight="1">
      <c r="A2" s="18" t="inlineStr">
        <is>
          <t>student_id</t>
        </is>
      </c>
      <c r="B2" s="18" t="inlineStr">
        <is>
          <t>student_name</t>
        </is>
      </c>
      <c r="C2" s="18" t="inlineStr">
        <is>
          <t>grade_level</t>
        </is>
      </c>
      <c r="D2" s="18" t="inlineStr">
        <is>
          <t>classroom</t>
        </is>
      </c>
      <c r="E2" s="18" t="inlineStr">
        <is>
          <t>teacher_name</t>
        </is>
      </c>
      <c r="F2" s="18" t="inlineStr">
        <is>
          <t>project_name</t>
        </is>
      </c>
      <c r="G2" s="18" t="inlineStr">
        <is>
          <t>academic_term</t>
        </is>
      </c>
      <c r="H2" s="18" t="inlineStr">
        <is>
          <t>month</t>
        </is>
      </c>
      <c r="I2" s="18" t="inlineStr">
        <is>
          <t>com_score</t>
        </is>
      </c>
      <c r="J2" s="18" t="inlineStr">
        <is>
          <t>think_score</t>
        </is>
      </c>
      <c r="K2" s="18" t="inlineStr">
        <is>
          <t>problem_score</t>
        </is>
      </c>
      <c r="L2" s="18" t="inlineStr">
        <is>
          <t>life_score</t>
        </is>
      </c>
      <c r="M2" s="18" t="inlineStr">
        <is>
          <t>tech_score</t>
        </is>
      </c>
      <c r="N2" s="18" t="inlineStr">
        <is>
          <t>total_score</t>
        </is>
      </c>
      <c r="O2" s="18" t="inlineStr">
        <is>
          <t>overall_result</t>
        </is>
      </c>
      <c r="P2" s="18" t="inlineStr">
        <is>
          <t>notes</t>
        </is>
      </c>
    </row>
    <row r="3">
      <c r="A3" s="11">
        <f>'📝 กรอกคะแนน'!B5</f>
        <v/>
      </c>
      <c r="B3" s="19">
        <f>'📝 กรอกคะแนน'!C5</f>
        <v/>
      </c>
      <c r="C3" s="11">
        <f>IF(ISERROR(FIND("/",'📝 กรอกคะแนน'!F2)),'📝 กรอกคะแนน'!F2,LEFT('📝 กรอกคะแนน'!F2,FIND("/",'📝 กรอกคะแนน'!F2)-1))</f>
        <v/>
      </c>
      <c r="D3" s="11">
        <f>IF(ISERROR(FIND("/",'📝 กรอกคะแนน'!F2)),"",MID('📝 กรอกคะแนน'!F2,FIND("/",'📝 กรอกคะแนน'!F2)+1,10))</f>
        <v/>
      </c>
      <c r="E3" s="19">
        <f>'📝 กรอกคะแนน'!I2</f>
        <v/>
      </c>
      <c r="F3" s="19">
        <f>'📝 กรอกคะแนน'!C2</f>
        <v/>
      </c>
      <c r="G3" s="11">
        <f>'📝 กรอกคะแนน'!J2&amp;"-"&amp;'📝 กรอกคะแนน'!L2</f>
        <v/>
      </c>
      <c r="H3" s="11">
        <f>'📝 กรอกคะแนน'!K2</f>
        <v/>
      </c>
      <c r="I3" s="11">
        <f>'📝 กรอกคะแนน'!D5</f>
        <v/>
      </c>
      <c r="J3" s="11">
        <f>'📝 กรอกคะแนน'!E5</f>
        <v/>
      </c>
      <c r="K3" s="11">
        <f>'📝 กรอกคะแนน'!F5</f>
        <v/>
      </c>
      <c r="L3" s="11">
        <f>'📝 กรอกคะแนน'!G5</f>
        <v/>
      </c>
      <c r="M3" s="11">
        <f>'📝 กรอกคะแนน'!H5</f>
        <v/>
      </c>
      <c r="N3" s="11">
        <f>'📝 กรอกคะแนน'!I5</f>
        <v/>
      </c>
      <c r="O3" s="11">
        <f>IF('📝 กรอกคะแนน'!J5="✅ ดีเยี่ยม","excellent",IF('📝 กรอกคะแนน'!J5="⬜ ผ่าน","pass",IF('📝 กรอกคะแนน'!J5="❌ ไม่ผ่าน","fail","")))</f>
        <v/>
      </c>
      <c r="P3" s="19">
        <f>'📝 กรอกคะแนน'!K5</f>
        <v/>
      </c>
    </row>
    <row r="4">
      <c r="A4" s="6">
        <f>'📝 กรอกคะแนน'!B6</f>
        <v/>
      </c>
      <c r="B4" s="20">
        <f>'📝 กรอกคะแนน'!C6</f>
        <v/>
      </c>
      <c r="C4" s="6">
        <f>IF(ISERROR(FIND("/",'📝 กรอกคะแนน'!F2)),'📝 กรอกคะแนน'!F2,LEFT('📝 กรอกคะแนน'!F2,FIND("/",'📝 กรอกคะแนน'!F2)-1))</f>
        <v/>
      </c>
      <c r="D4" s="6">
        <f>IF(ISERROR(FIND("/",'📝 กรอกคะแนน'!F2)),"",MID('📝 กรอกคะแนน'!F2,FIND("/",'📝 กรอกคะแนน'!F2)+1,10))</f>
        <v/>
      </c>
      <c r="E4" s="20">
        <f>'📝 กรอกคะแนน'!I2</f>
        <v/>
      </c>
      <c r="F4" s="20">
        <f>'📝 กรอกคะแนน'!C2</f>
        <v/>
      </c>
      <c r="G4" s="6">
        <f>'📝 กรอกคะแนน'!J2&amp;"-"&amp;'📝 กรอกคะแนน'!L2</f>
        <v/>
      </c>
      <c r="H4" s="6">
        <f>'📝 กรอกคะแนน'!K2</f>
        <v/>
      </c>
      <c r="I4" s="6">
        <f>'📝 กรอกคะแนน'!D6</f>
        <v/>
      </c>
      <c r="J4" s="6">
        <f>'📝 กรอกคะแนน'!E6</f>
        <v/>
      </c>
      <c r="K4" s="6">
        <f>'📝 กรอกคะแนน'!F6</f>
        <v/>
      </c>
      <c r="L4" s="6">
        <f>'📝 กรอกคะแนน'!G6</f>
        <v/>
      </c>
      <c r="M4" s="6">
        <f>'📝 กรอกคะแนน'!H6</f>
        <v/>
      </c>
      <c r="N4" s="6">
        <f>'📝 กรอกคะแนน'!I6</f>
        <v/>
      </c>
      <c r="O4" s="6">
        <f>IF('📝 กรอกคะแนน'!J6="✅ ดีเยี่ยม","excellent",IF('📝 กรอกคะแนน'!J6="⬜ ผ่าน","pass",IF('📝 กรอกคะแนน'!J6="❌ ไม่ผ่าน","fail","")))</f>
        <v/>
      </c>
      <c r="P4" s="20">
        <f>'📝 กรอกคะแนน'!K6</f>
        <v/>
      </c>
    </row>
    <row r="5">
      <c r="A5" s="11">
        <f>'📝 กรอกคะแนน'!B7</f>
        <v/>
      </c>
      <c r="B5" s="19">
        <f>'📝 กรอกคะแนน'!C7</f>
        <v/>
      </c>
      <c r="C5" s="11">
        <f>IF(ISERROR(FIND("/",'📝 กรอกคะแนน'!F2)),'📝 กรอกคะแนน'!F2,LEFT('📝 กรอกคะแนน'!F2,FIND("/",'📝 กรอกคะแนน'!F2)-1))</f>
        <v/>
      </c>
      <c r="D5" s="11">
        <f>IF(ISERROR(FIND("/",'📝 กรอกคะแนน'!F2)),"",MID('📝 กรอกคะแนน'!F2,FIND("/",'📝 กรอกคะแนน'!F2)+1,10))</f>
        <v/>
      </c>
      <c r="E5" s="19">
        <f>'📝 กรอกคะแนน'!I2</f>
        <v/>
      </c>
      <c r="F5" s="19">
        <f>'📝 กรอกคะแนน'!C2</f>
        <v/>
      </c>
      <c r="G5" s="11">
        <f>'📝 กรอกคะแนน'!J2&amp;"-"&amp;'📝 กรอกคะแนน'!L2</f>
        <v/>
      </c>
      <c r="H5" s="11">
        <f>'📝 กรอกคะแนน'!K2</f>
        <v/>
      </c>
      <c r="I5" s="11">
        <f>'📝 กรอกคะแนน'!D7</f>
        <v/>
      </c>
      <c r="J5" s="11">
        <f>'📝 กรอกคะแนน'!E7</f>
        <v/>
      </c>
      <c r="K5" s="11">
        <f>'📝 กรอกคะแนน'!F7</f>
        <v/>
      </c>
      <c r="L5" s="11">
        <f>'📝 กรอกคะแนน'!G7</f>
        <v/>
      </c>
      <c r="M5" s="11">
        <f>'📝 กรอกคะแนน'!H7</f>
        <v/>
      </c>
      <c r="N5" s="11">
        <f>'📝 กรอกคะแนน'!I7</f>
        <v/>
      </c>
      <c r="O5" s="11">
        <f>IF('📝 กรอกคะแนน'!J7="✅ ดีเยี่ยม","excellent",IF('📝 กรอกคะแนน'!J7="⬜ ผ่าน","pass",IF('📝 กรอกคะแนน'!J7="❌ ไม่ผ่าน","fail","")))</f>
        <v/>
      </c>
      <c r="P5" s="19">
        <f>'📝 กรอกคะแนน'!K7</f>
        <v/>
      </c>
    </row>
    <row r="6">
      <c r="A6" s="6">
        <f>'📝 กรอกคะแนน'!B8</f>
        <v/>
      </c>
      <c r="B6" s="20">
        <f>'📝 กรอกคะแนน'!C8</f>
        <v/>
      </c>
      <c r="C6" s="6">
        <f>IF(ISERROR(FIND("/",'📝 กรอกคะแนน'!F2)),'📝 กรอกคะแนน'!F2,LEFT('📝 กรอกคะแนน'!F2,FIND("/",'📝 กรอกคะแนน'!F2)-1))</f>
        <v/>
      </c>
      <c r="D6" s="6">
        <f>IF(ISERROR(FIND("/",'📝 กรอกคะแนน'!F2)),"",MID('📝 กรอกคะแนน'!F2,FIND("/",'📝 กรอกคะแนน'!F2)+1,10))</f>
        <v/>
      </c>
      <c r="E6" s="20">
        <f>'📝 กรอกคะแนน'!I2</f>
        <v/>
      </c>
      <c r="F6" s="20">
        <f>'📝 กรอกคะแนน'!C2</f>
        <v/>
      </c>
      <c r="G6" s="6">
        <f>'📝 กรอกคะแนน'!J2&amp;"-"&amp;'📝 กรอกคะแนน'!L2</f>
        <v/>
      </c>
      <c r="H6" s="6">
        <f>'📝 กรอกคะแนน'!K2</f>
        <v/>
      </c>
      <c r="I6" s="6">
        <f>'📝 กรอกคะแนน'!D8</f>
        <v/>
      </c>
      <c r="J6" s="6">
        <f>'📝 กรอกคะแนน'!E8</f>
        <v/>
      </c>
      <c r="K6" s="6">
        <f>'📝 กรอกคะแนน'!F8</f>
        <v/>
      </c>
      <c r="L6" s="6">
        <f>'📝 กรอกคะแนน'!G8</f>
        <v/>
      </c>
      <c r="M6" s="6">
        <f>'📝 กรอกคะแนน'!H8</f>
        <v/>
      </c>
      <c r="N6" s="6">
        <f>'📝 กรอกคะแนน'!I8</f>
        <v/>
      </c>
      <c r="O6" s="6">
        <f>IF('📝 กรอกคะแนน'!J8="✅ ดีเยี่ยม","excellent",IF('📝 กรอกคะแนน'!J8="⬜ ผ่าน","pass",IF('📝 กรอกคะแนน'!J8="❌ ไม่ผ่าน","fail","")))</f>
        <v/>
      </c>
      <c r="P6" s="20">
        <f>'📝 กรอกคะแนน'!K8</f>
        <v/>
      </c>
    </row>
    <row r="7">
      <c r="A7" s="11">
        <f>'📝 กรอกคะแนน'!B9</f>
        <v/>
      </c>
      <c r="B7" s="19">
        <f>'📝 กรอกคะแนน'!C9</f>
        <v/>
      </c>
      <c r="C7" s="11">
        <f>IF(ISERROR(FIND("/",'📝 กรอกคะแนน'!F2)),'📝 กรอกคะแนน'!F2,LEFT('📝 กรอกคะแนน'!F2,FIND("/",'📝 กรอกคะแนน'!F2)-1))</f>
        <v/>
      </c>
      <c r="D7" s="11">
        <f>IF(ISERROR(FIND("/",'📝 กรอกคะแนน'!F2)),"",MID('📝 กรอกคะแนน'!F2,FIND("/",'📝 กรอกคะแนน'!F2)+1,10))</f>
        <v/>
      </c>
      <c r="E7" s="19">
        <f>'📝 กรอกคะแนน'!I2</f>
        <v/>
      </c>
      <c r="F7" s="19">
        <f>'📝 กรอกคะแนน'!C2</f>
        <v/>
      </c>
      <c r="G7" s="11">
        <f>'📝 กรอกคะแนน'!J2&amp;"-"&amp;'📝 กรอกคะแนน'!L2</f>
        <v/>
      </c>
      <c r="H7" s="11">
        <f>'📝 กรอกคะแนน'!K2</f>
        <v/>
      </c>
      <c r="I7" s="11">
        <f>'📝 กรอกคะแนน'!D9</f>
        <v/>
      </c>
      <c r="J7" s="11">
        <f>'📝 กรอกคะแนน'!E9</f>
        <v/>
      </c>
      <c r="K7" s="11">
        <f>'📝 กรอกคะแนน'!F9</f>
        <v/>
      </c>
      <c r="L7" s="11">
        <f>'📝 กรอกคะแนน'!G9</f>
        <v/>
      </c>
      <c r="M7" s="11">
        <f>'📝 กรอกคะแนน'!H9</f>
        <v/>
      </c>
      <c r="N7" s="11">
        <f>'📝 กรอกคะแนน'!I9</f>
        <v/>
      </c>
      <c r="O7" s="11">
        <f>IF('📝 กรอกคะแนน'!J9="✅ ดีเยี่ยม","excellent",IF('📝 กรอกคะแนน'!J9="⬜ ผ่าน","pass",IF('📝 กรอกคะแนน'!J9="❌ ไม่ผ่าน","fail","")))</f>
        <v/>
      </c>
      <c r="P7" s="19">
        <f>'📝 กรอกคะแนน'!K9</f>
        <v/>
      </c>
    </row>
    <row r="8">
      <c r="A8" s="6">
        <f>'📝 กรอกคะแนน'!B10</f>
        <v/>
      </c>
      <c r="B8" s="20">
        <f>'📝 กรอกคะแนน'!C10</f>
        <v/>
      </c>
      <c r="C8" s="6">
        <f>IF(ISERROR(FIND("/",'📝 กรอกคะแนน'!F2)),'📝 กรอกคะแนน'!F2,LEFT('📝 กรอกคะแนน'!F2,FIND("/",'📝 กรอกคะแนน'!F2)-1))</f>
        <v/>
      </c>
      <c r="D8" s="6">
        <f>IF(ISERROR(FIND("/",'📝 กรอกคะแนน'!F2)),"",MID('📝 กรอกคะแนน'!F2,FIND("/",'📝 กรอกคะแนน'!F2)+1,10))</f>
        <v/>
      </c>
      <c r="E8" s="20">
        <f>'📝 กรอกคะแนน'!I2</f>
        <v/>
      </c>
      <c r="F8" s="20">
        <f>'📝 กรอกคะแนน'!C2</f>
        <v/>
      </c>
      <c r="G8" s="6">
        <f>'📝 กรอกคะแนน'!J2&amp;"-"&amp;'📝 กรอกคะแนน'!L2</f>
        <v/>
      </c>
      <c r="H8" s="6">
        <f>'📝 กรอกคะแนน'!K2</f>
        <v/>
      </c>
      <c r="I8" s="6">
        <f>'📝 กรอกคะแนน'!D10</f>
        <v/>
      </c>
      <c r="J8" s="6">
        <f>'📝 กรอกคะแนน'!E10</f>
        <v/>
      </c>
      <c r="K8" s="6">
        <f>'📝 กรอกคะแนน'!F10</f>
        <v/>
      </c>
      <c r="L8" s="6">
        <f>'📝 กรอกคะแนน'!G10</f>
        <v/>
      </c>
      <c r="M8" s="6">
        <f>'📝 กรอกคะแนน'!H10</f>
        <v/>
      </c>
      <c r="N8" s="6">
        <f>'📝 กรอกคะแนน'!I10</f>
        <v/>
      </c>
      <c r="O8" s="6">
        <f>IF('📝 กรอกคะแนน'!J10="✅ ดีเยี่ยม","excellent",IF('📝 กรอกคะแนน'!J10="⬜ ผ่าน","pass",IF('📝 กรอกคะแนน'!J10="❌ ไม่ผ่าน","fail","")))</f>
        <v/>
      </c>
      <c r="P8" s="20">
        <f>'📝 กรอกคะแนน'!K10</f>
        <v/>
      </c>
    </row>
    <row r="9">
      <c r="A9" s="11">
        <f>'📝 กรอกคะแนน'!B11</f>
        <v/>
      </c>
      <c r="B9" s="19">
        <f>'📝 กรอกคะแนน'!C11</f>
        <v/>
      </c>
      <c r="C9" s="11">
        <f>IF(ISERROR(FIND("/",'📝 กรอกคะแนน'!F2)),'📝 กรอกคะแนน'!F2,LEFT('📝 กรอกคะแนน'!F2,FIND("/",'📝 กรอกคะแนน'!F2)-1))</f>
        <v/>
      </c>
      <c r="D9" s="11">
        <f>IF(ISERROR(FIND("/",'📝 กรอกคะแนน'!F2)),"",MID('📝 กรอกคะแนน'!F2,FIND("/",'📝 กรอกคะแนน'!F2)+1,10))</f>
        <v/>
      </c>
      <c r="E9" s="19">
        <f>'📝 กรอกคะแนน'!I2</f>
        <v/>
      </c>
      <c r="F9" s="19">
        <f>'📝 กรอกคะแนน'!C2</f>
        <v/>
      </c>
      <c r="G9" s="11">
        <f>'📝 กรอกคะแนน'!J2&amp;"-"&amp;'📝 กรอกคะแนน'!L2</f>
        <v/>
      </c>
      <c r="H9" s="11">
        <f>'📝 กรอกคะแนน'!K2</f>
        <v/>
      </c>
      <c r="I9" s="11">
        <f>'📝 กรอกคะแนน'!D11</f>
        <v/>
      </c>
      <c r="J9" s="11">
        <f>'📝 กรอกคะแนน'!E11</f>
        <v/>
      </c>
      <c r="K9" s="11">
        <f>'📝 กรอกคะแนน'!F11</f>
        <v/>
      </c>
      <c r="L9" s="11">
        <f>'📝 กรอกคะแนน'!G11</f>
        <v/>
      </c>
      <c r="M9" s="11">
        <f>'📝 กรอกคะแนน'!H11</f>
        <v/>
      </c>
      <c r="N9" s="11">
        <f>'📝 กรอกคะแนน'!I11</f>
        <v/>
      </c>
      <c r="O9" s="11">
        <f>IF('📝 กรอกคะแนน'!J11="✅ ดีเยี่ยม","excellent",IF('📝 กรอกคะแนน'!J11="⬜ ผ่าน","pass",IF('📝 กรอกคะแนน'!J11="❌ ไม่ผ่าน","fail","")))</f>
        <v/>
      </c>
      <c r="P9" s="19">
        <f>'📝 กรอกคะแนน'!K11</f>
        <v/>
      </c>
    </row>
    <row r="10">
      <c r="A10" s="6">
        <f>'📝 กรอกคะแนน'!B12</f>
        <v/>
      </c>
      <c r="B10" s="20">
        <f>'📝 กรอกคะแนน'!C12</f>
        <v/>
      </c>
      <c r="C10" s="6">
        <f>IF(ISERROR(FIND("/",'📝 กรอกคะแนน'!F2)),'📝 กรอกคะแนน'!F2,LEFT('📝 กรอกคะแนน'!F2,FIND("/",'📝 กรอกคะแนน'!F2)-1))</f>
        <v/>
      </c>
      <c r="D10" s="6">
        <f>IF(ISERROR(FIND("/",'📝 กรอกคะแนน'!F2)),"",MID('📝 กรอกคะแนน'!F2,FIND("/",'📝 กรอกคะแนน'!F2)+1,10))</f>
        <v/>
      </c>
      <c r="E10" s="20">
        <f>'📝 กรอกคะแนน'!I2</f>
        <v/>
      </c>
      <c r="F10" s="20">
        <f>'📝 กรอกคะแนน'!C2</f>
        <v/>
      </c>
      <c r="G10" s="6">
        <f>'📝 กรอกคะแนน'!J2&amp;"-"&amp;'📝 กรอกคะแนน'!L2</f>
        <v/>
      </c>
      <c r="H10" s="6">
        <f>'📝 กรอกคะแนน'!K2</f>
        <v/>
      </c>
      <c r="I10" s="6">
        <f>'📝 กรอกคะแนน'!D12</f>
        <v/>
      </c>
      <c r="J10" s="6">
        <f>'📝 กรอกคะแนน'!E12</f>
        <v/>
      </c>
      <c r="K10" s="6">
        <f>'📝 กรอกคะแนน'!F12</f>
        <v/>
      </c>
      <c r="L10" s="6">
        <f>'📝 กรอกคะแนน'!G12</f>
        <v/>
      </c>
      <c r="M10" s="6">
        <f>'📝 กรอกคะแนน'!H12</f>
        <v/>
      </c>
      <c r="N10" s="6">
        <f>'📝 กรอกคะแนน'!I12</f>
        <v/>
      </c>
      <c r="O10" s="6">
        <f>IF('📝 กรอกคะแนน'!J12="✅ ดีเยี่ยม","excellent",IF('📝 กรอกคะแนน'!J12="⬜ ผ่าน","pass",IF('📝 กรอกคะแนน'!J12="❌ ไม่ผ่าน","fail","")))</f>
        <v/>
      </c>
      <c r="P10" s="20">
        <f>'📝 กรอกคะแนน'!K12</f>
        <v/>
      </c>
    </row>
    <row r="11">
      <c r="A11" s="11">
        <f>'📝 กรอกคะแนน'!B13</f>
        <v/>
      </c>
      <c r="B11" s="19">
        <f>'📝 กรอกคะแนน'!C13</f>
        <v/>
      </c>
      <c r="C11" s="11">
        <f>IF(ISERROR(FIND("/",'📝 กรอกคะแนน'!F2)),'📝 กรอกคะแนน'!F2,LEFT('📝 กรอกคะแนน'!F2,FIND("/",'📝 กรอกคะแนน'!F2)-1))</f>
        <v/>
      </c>
      <c r="D11" s="11">
        <f>IF(ISERROR(FIND("/",'📝 กรอกคะแนน'!F2)),"",MID('📝 กรอกคะแนน'!F2,FIND("/",'📝 กรอกคะแนน'!F2)+1,10))</f>
        <v/>
      </c>
      <c r="E11" s="19">
        <f>'📝 กรอกคะแนน'!I2</f>
        <v/>
      </c>
      <c r="F11" s="19">
        <f>'📝 กรอกคะแนน'!C2</f>
        <v/>
      </c>
      <c r="G11" s="11">
        <f>'📝 กรอกคะแนน'!J2&amp;"-"&amp;'📝 กรอกคะแนน'!L2</f>
        <v/>
      </c>
      <c r="H11" s="11">
        <f>'📝 กรอกคะแนน'!K2</f>
        <v/>
      </c>
      <c r="I11" s="11">
        <f>'📝 กรอกคะแนน'!D13</f>
        <v/>
      </c>
      <c r="J11" s="11">
        <f>'📝 กรอกคะแนน'!E13</f>
        <v/>
      </c>
      <c r="K11" s="11">
        <f>'📝 กรอกคะแนน'!F13</f>
        <v/>
      </c>
      <c r="L11" s="11">
        <f>'📝 กรอกคะแนน'!G13</f>
        <v/>
      </c>
      <c r="M11" s="11">
        <f>'📝 กรอกคะแนน'!H13</f>
        <v/>
      </c>
      <c r="N11" s="11">
        <f>'📝 กรอกคะแนน'!I13</f>
        <v/>
      </c>
      <c r="O11" s="11">
        <f>IF('📝 กรอกคะแนน'!J13="✅ ดีเยี่ยม","excellent",IF('📝 กรอกคะแนน'!J13="⬜ ผ่าน","pass",IF('📝 กรอกคะแนน'!J13="❌ ไม่ผ่าน","fail","")))</f>
        <v/>
      </c>
      <c r="P11" s="19">
        <f>'📝 กรอกคะแนน'!K13</f>
        <v/>
      </c>
    </row>
    <row r="12">
      <c r="A12" s="6">
        <f>'📝 กรอกคะแนน'!B14</f>
        <v/>
      </c>
      <c r="B12" s="20">
        <f>'📝 กรอกคะแนน'!C14</f>
        <v/>
      </c>
      <c r="C12" s="6">
        <f>IF(ISERROR(FIND("/",'📝 กรอกคะแนน'!F2)),'📝 กรอกคะแนน'!F2,LEFT('📝 กรอกคะแนน'!F2,FIND("/",'📝 กรอกคะแนน'!F2)-1))</f>
        <v/>
      </c>
      <c r="D12" s="6">
        <f>IF(ISERROR(FIND("/",'📝 กรอกคะแนน'!F2)),"",MID('📝 กรอกคะแนน'!F2,FIND("/",'📝 กรอกคะแนน'!F2)+1,10))</f>
        <v/>
      </c>
      <c r="E12" s="20">
        <f>'📝 กรอกคะแนน'!I2</f>
        <v/>
      </c>
      <c r="F12" s="20">
        <f>'📝 กรอกคะแนน'!C2</f>
        <v/>
      </c>
      <c r="G12" s="6">
        <f>'📝 กรอกคะแนน'!J2&amp;"-"&amp;'📝 กรอกคะแนน'!L2</f>
        <v/>
      </c>
      <c r="H12" s="6">
        <f>'📝 กรอกคะแนน'!K2</f>
        <v/>
      </c>
      <c r="I12" s="6">
        <f>'📝 กรอกคะแนน'!D14</f>
        <v/>
      </c>
      <c r="J12" s="6">
        <f>'📝 กรอกคะแนน'!E14</f>
        <v/>
      </c>
      <c r="K12" s="6">
        <f>'📝 กรอกคะแนน'!F14</f>
        <v/>
      </c>
      <c r="L12" s="6">
        <f>'📝 กรอกคะแนน'!G14</f>
        <v/>
      </c>
      <c r="M12" s="6">
        <f>'📝 กรอกคะแนน'!H14</f>
        <v/>
      </c>
      <c r="N12" s="6">
        <f>'📝 กรอกคะแนน'!I14</f>
        <v/>
      </c>
      <c r="O12" s="6">
        <f>IF('📝 กรอกคะแนน'!J14="✅ ดีเยี่ยม","excellent",IF('📝 กรอกคะแนน'!J14="⬜ ผ่าน","pass",IF('📝 กรอกคะแนน'!J14="❌ ไม่ผ่าน","fail","")))</f>
        <v/>
      </c>
      <c r="P12" s="20">
        <f>'📝 กรอกคะแนน'!K14</f>
        <v/>
      </c>
    </row>
    <row r="13">
      <c r="A13" s="11">
        <f>'📝 กรอกคะแนน'!B15</f>
        <v/>
      </c>
      <c r="B13" s="19">
        <f>'📝 กรอกคะแนน'!C15</f>
        <v/>
      </c>
      <c r="C13" s="11">
        <f>IF(ISERROR(FIND("/",'📝 กรอกคะแนน'!F2)),'📝 กรอกคะแนน'!F2,LEFT('📝 กรอกคะแนน'!F2,FIND("/",'📝 กรอกคะแนน'!F2)-1))</f>
        <v/>
      </c>
      <c r="D13" s="11">
        <f>IF(ISERROR(FIND("/",'📝 กรอกคะแนน'!F2)),"",MID('📝 กรอกคะแนน'!F2,FIND("/",'📝 กรอกคะแนน'!F2)+1,10))</f>
        <v/>
      </c>
      <c r="E13" s="19">
        <f>'📝 กรอกคะแนน'!I2</f>
        <v/>
      </c>
      <c r="F13" s="19">
        <f>'📝 กรอกคะแนน'!C2</f>
        <v/>
      </c>
      <c r="G13" s="11">
        <f>'📝 กรอกคะแนน'!J2&amp;"-"&amp;'📝 กรอกคะแนน'!L2</f>
        <v/>
      </c>
      <c r="H13" s="11">
        <f>'📝 กรอกคะแนน'!K2</f>
        <v/>
      </c>
      <c r="I13" s="11">
        <f>'📝 กรอกคะแนน'!D15</f>
        <v/>
      </c>
      <c r="J13" s="11">
        <f>'📝 กรอกคะแนน'!E15</f>
        <v/>
      </c>
      <c r="K13" s="11">
        <f>'📝 กรอกคะแนน'!F15</f>
        <v/>
      </c>
      <c r="L13" s="11">
        <f>'📝 กรอกคะแนน'!G15</f>
        <v/>
      </c>
      <c r="M13" s="11">
        <f>'📝 กรอกคะแนน'!H15</f>
        <v/>
      </c>
      <c r="N13" s="11">
        <f>'📝 กรอกคะแนน'!I15</f>
        <v/>
      </c>
      <c r="O13" s="11">
        <f>IF('📝 กรอกคะแนน'!J15="✅ ดีเยี่ยม","excellent",IF('📝 กรอกคะแนน'!J15="⬜ ผ่าน","pass",IF('📝 กรอกคะแนน'!J15="❌ ไม่ผ่าน","fail","")))</f>
        <v/>
      </c>
      <c r="P13" s="19">
        <f>'📝 กรอกคะแนน'!K15</f>
        <v/>
      </c>
    </row>
    <row r="14">
      <c r="A14" s="6">
        <f>'📝 กรอกคะแนน'!B16</f>
        <v/>
      </c>
      <c r="B14" s="20">
        <f>'📝 กรอกคะแนน'!C16</f>
        <v/>
      </c>
      <c r="C14" s="6">
        <f>IF(ISERROR(FIND("/",'📝 กรอกคะแนน'!F2)),'📝 กรอกคะแนน'!F2,LEFT('📝 กรอกคะแนน'!F2,FIND("/",'📝 กรอกคะแนน'!F2)-1))</f>
        <v/>
      </c>
      <c r="D14" s="6">
        <f>IF(ISERROR(FIND("/",'📝 กรอกคะแนน'!F2)),"",MID('📝 กรอกคะแนน'!F2,FIND("/",'📝 กรอกคะแนน'!F2)+1,10))</f>
        <v/>
      </c>
      <c r="E14" s="20">
        <f>'📝 กรอกคะแนน'!I2</f>
        <v/>
      </c>
      <c r="F14" s="20">
        <f>'📝 กรอกคะแนน'!C2</f>
        <v/>
      </c>
      <c r="G14" s="6">
        <f>'📝 กรอกคะแนน'!J2&amp;"-"&amp;'📝 กรอกคะแนน'!L2</f>
        <v/>
      </c>
      <c r="H14" s="6">
        <f>'📝 กรอกคะแนน'!K2</f>
        <v/>
      </c>
      <c r="I14" s="6">
        <f>'📝 กรอกคะแนน'!D16</f>
        <v/>
      </c>
      <c r="J14" s="6">
        <f>'📝 กรอกคะแนน'!E16</f>
        <v/>
      </c>
      <c r="K14" s="6">
        <f>'📝 กรอกคะแนน'!F16</f>
        <v/>
      </c>
      <c r="L14" s="6">
        <f>'📝 กรอกคะแนน'!G16</f>
        <v/>
      </c>
      <c r="M14" s="6">
        <f>'📝 กรอกคะแนน'!H16</f>
        <v/>
      </c>
      <c r="N14" s="6">
        <f>'📝 กรอกคะแนน'!I16</f>
        <v/>
      </c>
      <c r="O14" s="6">
        <f>IF('📝 กรอกคะแนน'!J16="✅ ดีเยี่ยม","excellent",IF('📝 กรอกคะแนน'!J16="⬜ ผ่าน","pass",IF('📝 กรอกคะแนน'!J16="❌ ไม่ผ่าน","fail","")))</f>
        <v/>
      </c>
      <c r="P14" s="20">
        <f>'📝 กรอกคะแนน'!K16</f>
        <v/>
      </c>
    </row>
    <row r="15">
      <c r="A15" s="11">
        <f>'📝 กรอกคะแนน'!B17</f>
        <v/>
      </c>
      <c r="B15" s="19">
        <f>'📝 กรอกคะแนน'!C17</f>
        <v/>
      </c>
      <c r="C15" s="11">
        <f>IF(ISERROR(FIND("/",'📝 กรอกคะแนน'!F2)),'📝 กรอกคะแนน'!F2,LEFT('📝 กรอกคะแนน'!F2,FIND("/",'📝 กรอกคะแนน'!F2)-1))</f>
        <v/>
      </c>
      <c r="D15" s="11">
        <f>IF(ISERROR(FIND("/",'📝 กรอกคะแนน'!F2)),"",MID('📝 กรอกคะแนน'!F2,FIND("/",'📝 กรอกคะแนน'!F2)+1,10))</f>
        <v/>
      </c>
      <c r="E15" s="19">
        <f>'📝 กรอกคะแนน'!I2</f>
        <v/>
      </c>
      <c r="F15" s="19">
        <f>'📝 กรอกคะแนน'!C2</f>
        <v/>
      </c>
      <c r="G15" s="11">
        <f>'📝 กรอกคะแนน'!J2&amp;"-"&amp;'📝 กรอกคะแนน'!L2</f>
        <v/>
      </c>
      <c r="H15" s="11">
        <f>'📝 กรอกคะแนน'!K2</f>
        <v/>
      </c>
      <c r="I15" s="11">
        <f>'📝 กรอกคะแนน'!D17</f>
        <v/>
      </c>
      <c r="J15" s="11">
        <f>'📝 กรอกคะแนน'!E17</f>
        <v/>
      </c>
      <c r="K15" s="11">
        <f>'📝 กรอกคะแนน'!F17</f>
        <v/>
      </c>
      <c r="L15" s="11">
        <f>'📝 กรอกคะแนน'!G17</f>
        <v/>
      </c>
      <c r="M15" s="11">
        <f>'📝 กรอกคะแนน'!H17</f>
        <v/>
      </c>
      <c r="N15" s="11">
        <f>'📝 กรอกคะแนน'!I17</f>
        <v/>
      </c>
      <c r="O15" s="11">
        <f>IF('📝 กรอกคะแนน'!J17="✅ ดีเยี่ยม","excellent",IF('📝 กรอกคะแนน'!J17="⬜ ผ่าน","pass",IF('📝 กรอกคะแนน'!J17="❌ ไม่ผ่าน","fail","")))</f>
        <v/>
      </c>
      <c r="P15" s="19">
        <f>'📝 กรอกคะแนน'!K17</f>
        <v/>
      </c>
    </row>
    <row r="16">
      <c r="A16" s="6">
        <f>'📝 กรอกคะแนน'!B18</f>
        <v/>
      </c>
      <c r="B16" s="20">
        <f>'📝 กรอกคะแนน'!C18</f>
        <v/>
      </c>
      <c r="C16" s="6">
        <f>IF(ISERROR(FIND("/",'📝 กรอกคะแนน'!F2)),'📝 กรอกคะแนน'!F2,LEFT('📝 กรอกคะแนน'!F2,FIND("/",'📝 กรอกคะแนน'!F2)-1))</f>
        <v/>
      </c>
      <c r="D16" s="6">
        <f>IF(ISERROR(FIND("/",'📝 กรอกคะแนน'!F2)),"",MID('📝 กรอกคะแนน'!F2,FIND("/",'📝 กรอกคะแนน'!F2)+1,10))</f>
        <v/>
      </c>
      <c r="E16" s="20">
        <f>'📝 กรอกคะแนน'!I2</f>
        <v/>
      </c>
      <c r="F16" s="20">
        <f>'📝 กรอกคะแนน'!C2</f>
        <v/>
      </c>
      <c r="G16" s="6">
        <f>'📝 กรอกคะแนน'!J2&amp;"-"&amp;'📝 กรอกคะแนน'!L2</f>
        <v/>
      </c>
      <c r="H16" s="6">
        <f>'📝 กรอกคะแนน'!K2</f>
        <v/>
      </c>
      <c r="I16" s="6">
        <f>'📝 กรอกคะแนน'!D18</f>
        <v/>
      </c>
      <c r="J16" s="6">
        <f>'📝 กรอกคะแนน'!E18</f>
        <v/>
      </c>
      <c r="K16" s="6">
        <f>'📝 กรอกคะแนน'!F18</f>
        <v/>
      </c>
      <c r="L16" s="6">
        <f>'📝 กรอกคะแนน'!G18</f>
        <v/>
      </c>
      <c r="M16" s="6">
        <f>'📝 กรอกคะแนน'!H18</f>
        <v/>
      </c>
      <c r="N16" s="6">
        <f>'📝 กรอกคะแนน'!I18</f>
        <v/>
      </c>
      <c r="O16" s="6">
        <f>IF('📝 กรอกคะแนน'!J18="✅ ดีเยี่ยม","excellent",IF('📝 กรอกคะแนน'!J18="⬜ ผ่าน","pass",IF('📝 กรอกคะแนน'!J18="❌ ไม่ผ่าน","fail","")))</f>
        <v/>
      </c>
      <c r="P16" s="20">
        <f>'📝 กรอกคะแนน'!K18</f>
        <v/>
      </c>
    </row>
    <row r="17">
      <c r="A17" s="11">
        <f>'📝 กรอกคะแนน'!B19</f>
        <v/>
      </c>
      <c r="B17" s="19">
        <f>'📝 กรอกคะแนน'!C19</f>
        <v/>
      </c>
      <c r="C17" s="11">
        <f>IF(ISERROR(FIND("/",'📝 กรอกคะแนน'!F2)),'📝 กรอกคะแนน'!F2,LEFT('📝 กรอกคะแนน'!F2,FIND("/",'📝 กรอกคะแนน'!F2)-1))</f>
        <v/>
      </c>
      <c r="D17" s="11">
        <f>IF(ISERROR(FIND("/",'📝 กรอกคะแนน'!F2)),"",MID('📝 กรอกคะแนน'!F2,FIND("/",'📝 กรอกคะแนน'!F2)+1,10))</f>
        <v/>
      </c>
      <c r="E17" s="19">
        <f>'📝 กรอกคะแนน'!I2</f>
        <v/>
      </c>
      <c r="F17" s="19">
        <f>'📝 กรอกคะแนน'!C2</f>
        <v/>
      </c>
      <c r="G17" s="11">
        <f>'📝 กรอกคะแนน'!J2&amp;"-"&amp;'📝 กรอกคะแนน'!L2</f>
        <v/>
      </c>
      <c r="H17" s="11">
        <f>'📝 กรอกคะแนน'!K2</f>
        <v/>
      </c>
      <c r="I17" s="11">
        <f>'📝 กรอกคะแนน'!D19</f>
        <v/>
      </c>
      <c r="J17" s="11">
        <f>'📝 กรอกคะแนน'!E19</f>
        <v/>
      </c>
      <c r="K17" s="11">
        <f>'📝 กรอกคะแนน'!F19</f>
        <v/>
      </c>
      <c r="L17" s="11">
        <f>'📝 กรอกคะแนน'!G19</f>
        <v/>
      </c>
      <c r="M17" s="11">
        <f>'📝 กรอกคะแนน'!H19</f>
        <v/>
      </c>
      <c r="N17" s="11">
        <f>'📝 กรอกคะแนน'!I19</f>
        <v/>
      </c>
      <c r="O17" s="11">
        <f>IF('📝 กรอกคะแนน'!J19="✅ ดีเยี่ยม","excellent",IF('📝 กรอกคะแนน'!J19="⬜ ผ่าน","pass",IF('📝 กรอกคะแนน'!J19="❌ ไม่ผ่าน","fail","")))</f>
        <v/>
      </c>
      <c r="P17" s="19">
        <f>'📝 กรอกคะแนน'!K19</f>
        <v/>
      </c>
    </row>
    <row r="18">
      <c r="A18" s="6">
        <f>'📝 กรอกคะแนน'!B20</f>
        <v/>
      </c>
      <c r="B18" s="20">
        <f>'📝 กรอกคะแนน'!C20</f>
        <v/>
      </c>
      <c r="C18" s="6">
        <f>IF(ISERROR(FIND("/",'📝 กรอกคะแนน'!F2)),'📝 กรอกคะแนน'!F2,LEFT('📝 กรอกคะแนน'!F2,FIND("/",'📝 กรอกคะแนน'!F2)-1))</f>
        <v/>
      </c>
      <c r="D18" s="6">
        <f>IF(ISERROR(FIND("/",'📝 กรอกคะแนน'!F2)),"",MID('📝 กรอกคะแนน'!F2,FIND("/",'📝 กรอกคะแนน'!F2)+1,10))</f>
        <v/>
      </c>
      <c r="E18" s="20">
        <f>'📝 กรอกคะแนน'!I2</f>
        <v/>
      </c>
      <c r="F18" s="20">
        <f>'📝 กรอกคะแนน'!C2</f>
        <v/>
      </c>
      <c r="G18" s="6">
        <f>'📝 กรอกคะแนน'!J2&amp;"-"&amp;'📝 กรอกคะแนน'!L2</f>
        <v/>
      </c>
      <c r="H18" s="6">
        <f>'📝 กรอกคะแนน'!K2</f>
        <v/>
      </c>
      <c r="I18" s="6">
        <f>'📝 กรอกคะแนน'!D20</f>
        <v/>
      </c>
      <c r="J18" s="6">
        <f>'📝 กรอกคะแนน'!E20</f>
        <v/>
      </c>
      <c r="K18" s="6">
        <f>'📝 กรอกคะแนน'!F20</f>
        <v/>
      </c>
      <c r="L18" s="6">
        <f>'📝 กรอกคะแนน'!G20</f>
        <v/>
      </c>
      <c r="M18" s="6">
        <f>'📝 กรอกคะแนน'!H20</f>
        <v/>
      </c>
      <c r="N18" s="6">
        <f>'📝 กรอกคะแนน'!I20</f>
        <v/>
      </c>
      <c r="O18" s="6">
        <f>IF('📝 กรอกคะแนน'!J20="✅ ดีเยี่ยม","excellent",IF('📝 กรอกคะแนน'!J20="⬜ ผ่าน","pass",IF('📝 กรอกคะแนน'!J20="❌ ไม่ผ่าน","fail","")))</f>
        <v/>
      </c>
      <c r="P18" s="20">
        <f>'📝 กรอกคะแนน'!K20</f>
        <v/>
      </c>
    </row>
    <row r="19">
      <c r="A19" s="11">
        <f>'📝 กรอกคะแนน'!B21</f>
        <v/>
      </c>
      <c r="B19" s="19">
        <f>'📝 กรอกคะแนน'!C21</f>
        <v/>
      </c>
      <c r="C19" s="11">
        <f>IF(ISERROR(FIND("/",'📝 กรอกคะแนน'!F2)),'📝 กรอกคะแนน'!F2,LEFT('📝 กรอกคะแนน'!F2,FIND("/",'📝 กรอกคะแนน'!F2)-1))</f>
        <v/>
      </c>
      <c r="D19" s="11">
        <f>IF(ISERROR(FIND("/",'📝 กรอกคะแนน'!F2)),"",MID('📝 กรอกคะแนน'!F2,FIND("/",'📝 กรอกคะแนน'!F2)+1,10))</f>
        <v/>
      </c>
      <c r="E19" s="19">
        <f>'📝 กรอกคะแนน'!I2</f>
        <v/>
      </c>
      <c r="F19" s="19">
        <f>'📝 กรอกคะแนน'!C2</f>
        <v/>
      </c>
      <c r="G19" s="11">
        <f>'📝 กรอกคะแนน'!J2&amp;"-"&amp;'📝 กรอกคะแนน'!L2</f>
        <v/>
      </c>
      <c r="H19" s="11">
        <f>'📝 กรอกคะแนน'!K2</f>
        <v/>
      </c>
      <c r="I19" s="11">
        <f>'📝 กรอกคะแนน'!D21</f>
        <v/>
      </c>
      <c r="J19" s="11">
        <f>'📝 กรอกคะแนน'!E21</f>
        <v/>
      </c>
      <c r="K19" s="11">
        <f>'📝 กรอกคะแนน'!F21</f>
        <v/>
      </c>
      <c r="L19" s="11">
        <f>'📝 กรอกคะแนน'!G21</f>
        <v/>
      </c>
      <c r="M19" s="11">
        <f>'📝 กรอกคะแนน'!H21</f>
        <v/>
      </c>
      <c r="N19" s="11">
        <f>'📝 กรอกคะแนน'!I21</f>
        <v/>
      </c>
      <c r="O19" s="11">
        <f>IF('📝 กรอกคะแนน'!J21="✅ ดีเยี่ยม","excellent",IF('📝 กรอกคะแนน'!J21="⬜ ผ่าน","pass",IF('📝 กรอกคะแนน'!J21="❌ ไม่ผ่าน","fail","")))</f>
        <v/>
      </c>
      <c r="P19" s="19">
        <f>'📝 กรอกคะแนน'!K21</f>
        <v/>
      </c>
    </row>
    <row r="20">
      <c r="A20" s="6">
        <f>'📝 กรอกคะแนน'!B22</f>
        <v/>
      </c>
      <c r="B20" s="20">
        <f>'📝 กรอกคะแนน'!C22</f>
        <v/>
      </c>
      <c r="C20" s="6">
        <f>IF(ISERROR(FIND("/",'📝 กรอกคะแนน'!F2)),'📝 กรอกคะแนน'!F2,LEFT('📝 กรอกคะแนน'!F2,FIND("/",'📝 กรอกคะแนน'!F2)-1))</f>
        <v/>
      </c>
      <c r="D20" s="6">
        <f>IF(ISERROR(FIND("/",'📝 กรอกคะแนน'!F2)),"",MID('📝 กรอกคะแนน'!F2,FIND("/",'📝 กรอกคะแนน'!F2)+1,10))</f>
        <v/>
      </c>
      <c r="E20" s="20">
        <f>'📝 กรอกคะแนน'!I2</f>
        <v/>
      </c>
      <c r="F20" s="20">
        <f>'📝 กรอกคะแนน'!C2</f>
        <v/>
      </c>
      <c r="G20" s="6">
        <f>'📝 กรอกคะแนน'!J2&amp;"-"&amp;'📝 กรอกคะแนน'!L2</f>
        <v/>
      </c>
      <c r="H20" s="6">
        <f>'📝 กรอกคะแนน'!K2</f>
        <v/>
      </c>
      <c r="I20" s="6">
        <f>'📝 กรอกคะแนน'!D22</f>
        <v/>
      </c>
      <c r="J20" s="6">
        <f>'📝 กรอกคะแนน'!E22</f>
        <v/>
      </c>
      <c r="K20" s="6">
        <f>'📝 กรอกคะแนน'!F22</f>
        <v/>
      </c>
      <c r="L20" s="6">
        <f>'📝 กรอกคะแนน'!G22</f>
        <v/>
      </c>
      <c r="M20" s="6">
        <f>'📝 กรอกคะแนน'!H22</f>
        <v/>
      </c>
      <c r="N20" s="6">
        <f>'📝 กรอกคะแนน'!I22</f>
        <v/>
      </c>
      <c r="O20" s="6">
        <f>IF('📝 กรอกคะแนน'!J22="✅ ดีเยี่ยม","excellent",IF('📝 กรอกคะแนน'!J22="⬜ ผ่าน","pass",IF('📝 กรอกคะแนน'!J22="❌ ไม่ผ่าน","fail","")))</f>
        <v/>
      </c>
      <c r="P20" s="20">
        <f>'📝 กรอกคะแนน'!K22</f>
        <v/>
      </c>
    </row>
    <row r="21">
      <c r="A21" s="11">
        <f>'📝 กรอกคะแนน'!B23</f>
        <v/>
      </c>
      <c r="B21" s="19">
        <f>'📝 กรอกคะแนน'!C23</f>
        <v/>
      </c>
      <c r="C21" s="11">
        <f>IF(ISERROR(FIND("/",'📝 กรอกคะแนน'!F2)),'📝 กรอกคะแนน'!F2,LEFT('📝 กรอกคะแนน'!F2,FIND("/",'📝 กรอกคะแนน'!F2)-1))</f>
        <v/>
      </c>
      <c r="D21" s="11">
        <f>IF(ISERROR(FIND("/",'📝 กรอกคะแนน'!F2)),"",MID('📝 กรอกคะแนน'!F2,FIND("/",'📝 กรอกคะแนน'!F2)+1,10))</f>
        <v/>
      </c>
      <c r="E21" s="19">
        <f>'📝 กรอกคะแนน'!I2</f>
        <v/>
      </c>
      <c r="F21" s="19">
        <f>'📝 กรอกคะแนน'!C2</f>
        <v/>
      </c>
      <c r="G21" s="11">
        <f>'📝 กรอกคะแนน'!J2&amp;"-"&amp;'📝 กรอกคะแนน'!L2</f>
        <v/>
      </c>
      <c r="H21" s="11">
        <f>'📝 กรอกคะแนน'!K2</f>
        <v/>
      </c>
      <c r="I21" s="11">
        <f>'📝 กรอกคะแนน'!D23</f>
        <v/>
      </c>
      <c r="J21" s="11">
        <f>'📝 กรอกคะแนน'!E23</f>
        <v/>
      </c>
      <c r="K21" s="11">
        <f>'📝 กรอกคะแนน'!F23</f>
        <v/>
      </c>
      <c r="L21" s="11">
        <f>'📝 กรอกคะแนน'!G23</f>
        <v/>
      </c>
      <c r="M21" s="11">
        <f>'📝 กรอกคะแนน'!H23</f>
        <v/>
      </c>
      <c r="N21" s="11">
        <f>'📝 กรอกคะแนน'!I23</f>
        <v/>
      </c>
      <c r="O21" s="11">
        <f>IF('📝 กรอกคะแนน'!J23="✅ ดีเยี่ยม","excellent",IF('📝 กรอกคะแนน'!J23="⬜ ผ่าน","pass",IF('📝 กรอกคะแนน'!J23="❌ ไม่ผ่าน","fail","")))</f>
        <v/>
      </c>
      <c r="P21" s="19">
        <f>'📝 กรอกคะแนน'!K23</f>
        <v/>
      </c>
    </row>
    <row r="22">
      <c r="A22" s="6">
        <f>'📝 กรอกคะแนน'!B24</f>
        <v/>
      </c>
      <c r="B22" s="20">
        <f>'📝 กรอกคะแนน'!C24</f>
        <v/>
      </c>
      <c r="C22" s="6">
        <f>IF(ISERROR(FIND("/",'📝 กรอกคะแนน'!F2)),'📝 กรอกคะแนน'!F2,LEFT('📝 กรอกคะแนน'!F2,FIND("/",'📝 กรอกคะแนน'!F2)-1))</f>
        <v/>
      </c>
      <c r="D22" s="6">
        <f>IF(ISERROR(FIND("/",'📝 กรอกคะแนน'!F2)),"",MID('📝 กรอกคะแนน'!F2,FIND("/",'📝 กรอกคะแนน'!F2)+1,10))</f>
        <v/>
      </c>
      <c r="E22" s="20">
        <f>'📝 กรอกคะแนน'!I2</f>
        <v/>
      </c>
      <c r="F22" s="20">
        <f>'📝 กรอกคะแนน'!C2</f>
        <v/>
      </c>
      <c r="G22" s="6">
        <f>'📝 กรอกคะแนน'!J2&amp;"-"&amp;'📝 กรอกคะแนน'!L2</f>
        <v/>
      </c>
      <c r="H22" s="6">
        <f>'📝 กรอกคะแนน'!K2</f>
        <v/>
      </c>
      <c r="I22" s="6">
        <f>'📝 กรอกคะแนน'!D24</f>
        <v/>
      </c>
      <c r="J22" s="6">
        <f>'📝 กรอกคะแนน'!E24</f>
        <v/>
      </c>
      <c r="K22" s="6">
        <f>'📝 กรอกคะแนน'!F24</f>
        <v/>
      </c>
      <c r="L22" s="6">
        <f>'📝 กรอกคะแนน'!G24</f>
        <v/>
      </c>
      <c r="M22" s="6">
        <f>'📝 กรอกคะแนน'!H24</f>
        <v/>
      </c>
      <c r="N22" s="6">
        <f>'📝 กรอกคะแนน'!I24</f>
        <v/>
      </c>
      <c r="O22" s="6">
        <f>IF('📝 กรอกคะแนน'!J24="✅ ดีเยี่ยม","excellent",IF('📝 กรอกคะแนน'!J24="⬜ ผ่าน","pass",IF('📝 กรอกคะแนน'!J24="❌ ไม่ผ่าน","fail","")))</f>
        <v/>
      </c>
      <c r="P22" s="20">
        <f>'📝 กรอกคะแนน'!K24</f>
        <v/>
      </c>
    </row>
    <row r="23">
      <c r="A23" s="11">
        <f>'📝 กรอกคะแนน'!B25</f>
        <v/>
      </c>
      <c r="B23" s="19">
        <f>'📝 กรอกคะแนน'!C25</f>
        <v/>
      </c>
      <c r="C23" s="11">
        <f>IF(ISERROR(FIND("/",'📝 กรอกคะแนน'!F2)),'📝 กรอกคะแนน'!F2,LEFT('📝 กรอกคะแนน'!F2,FIND("/",'📝 กรอกคะแนน'!F2)-1))</f>
        <v/>
      </c>
      <c r="D23" s="11">
        <f>IF(ISERROR(FIND("/",'📝 กรอกคะแนน'!F2)),"",MID('📝 กรอกคะแนน'!F2,FIND("/",'📝 กรอกคะแนน'!F2)+1,10))</f>
        <v/>
      </c>
      <c r="E23" s="19">
        <f>'📝 กรอกคะแนน'!I2</f>
        <v/>
      </c>
      <c r="F23" s="19">
        <f>'📝 กรอกคะแนน'!C2</f>
        <v/>
      </c>
      <c r="G23" s="11">
        <f>'📝 กรอกคะแนน'!J2&amp;"-"&amp;'📝 กรอกคะแนน'!L2</f>
        <v/>
      </c>
      <c r="H23" s="11">
        <f>'📝 กรอกคะแนน'!K2</f>
        <v/>
      </c>
      <c r="I23" s="11">
        <f>'📝 กรอกคะแนน'!D25</f>
        <v/>
      </c>
      <c r="J23" s="11">
        <f>'📝 กรอกคะแนน'!E25</f>
        <v/>
      </c>
      <c r="K23" s="11">
        <f>'📝 กรอกคะแนน'!F25</f>
        <v/>
      </c>
      <c r="L23" s="11">
        <f>'📝 กรอกคะแนน'!G25</f>
        <v/>
      </c>
      <c r="M23" s="11">
        <f>'📝 กรอกคะแนน'!H25</f>
        <v/>
      </c>
      <c r="N23" s="11">
        <f>'📝 กรอกคะแนน'!I25</f>
        <v/>
      </c>
      <c r="O23" s="11">
        <f>IF('📝 กรอกคะแนน'!J25="✅ ดีเยี่ยม","excellent",IF('📝 กรอกคะแนน'!J25="⬜ ผ่าน","pass",IF('📝 กรอกคะแนน'!J25="❌ ไม่ผ่าน","fail","")))</f>
        <v/>
      </c>
      <c r="P23" s="19">
        <f>'📝 กรอกคะแนน'!K25</f>
        <v/>
      </c>
    </row>
    <row r="24">
      <c r="A24" s="6">
        <f>'📝 กรอกคะแนน'!B26</f>
        <v/>
      </c>
      <c r="B24" s="20">
        <f>'📝 กรอกคะแนน'!C26</f>
        <v/>
      </c>
      <c r="C24" s="6">
        <f>IF(ISERROR(FIND("/",'📝 กรอกคะแนน'!F2)),'📝 กรอกคะแนน'!F2,LEFT('📝 กรอกคะแนน'!F2,FIND("/",'📝 กรอกคะแนน'!F2)-1))</f>
        <v/>
      </c>
      <c r="D24" s="6">
        <f>IF(ISERROR(FIND("/",'📝 กรอกคะแนน'!F2)),"",MID('📝 กรอกคะแนน'!F2,FIND("/",'📝 กรอกคะแนน'!F2)+1,10))</f>
        <v/>
      </c>
      <c r="E24" s="20">
        <f>'📝 กรอกคะแนน'!I2</f>
        <v/>
      </c>
      <c r="F24" s="20">
        <f>'📝 กรอกคะแนน'!C2</f>
        <v/>
      </c>
      <c r="G24" s="6">
        <f>'📝 กรอกคะแนน'!J2&amp;"-"&amp;'📝 กรอกคะแนน'!L2</f>
        <v/>
      </c>
      <c r="H24" s="6">
        <f>'📝 กรอกคะแนน'!K2</f>
        <v/>
      </c>
      <c r="I24" s="6">
        <f>'📝 กรอกคะแนน'!D26</f>
        <v/>
      </c>
      <c r="J24" s="6">
        <f>'📝 กรอกคะแนน'!E26</f>
        <v/>
      </c>
      <c r="K24" s="6">
        <f>'📝 กรอกคะแนน'!F26</f>
        <v/>
      </c>
      <c r="L24" s="6">
        <f>'📝 กรอกคะแนน'!G26</f>
        <v/>
      </c>
      <c r="M24" s="6">
        <f>'📝 กรอกคะแนน'!H26</f>
        <v/>
      </c>
      <c r="N24" s="6">
        <f>'📝 กรอกคะแนน'!I26</f>
        <v/>
      </c>
      <c r="O24" s="6">
        <f>IF('📝 กรอกคะแนน'!J26="✅ ดีเยี่ยม","excellent",IF('📝 กรอกคะแนน'!J26="⬜ ผ่าน","pass",IF('📝 กรอกคะแนน'!J26="❌ ไม่ผ่าน","fail","")))</f>
        <v/>
      </c>
      <c r="P24" s="20">
        <f>'📝 กรอกคะแนน'!K26</f>
        <v/>
      </c>
    </row>
    <row r="25">
      <c r="A25" s="11">
        <f>'📝 กรอกคะแนน'!B27</f>
        <v/>
      </c>
      <c r="B25" s="19">
        <f>'📝 กรอกคะแนน'!C27</f>
        <v/>
      </c>
      <c r="C25" s="11">
        <f>IF(ISERROR(FIND("/",'📝 กรอกคะแนน'!F2)),'📝 กรอกคะแนน'!F2,LEFT('📝 กรอกคะแนน'!F2,FIND("/",'📝 กรอกคะแนน'!F2)-1))</f>
        <v/>
      </c>
      <c r="D25" s="11">
        <f>IF(ISERROR(FIND("/",'📝 กรอกคะแนน'!F2)),"",MID('📝 กรอกคะแนน'!F2,FIND("/",'📝 กรอกคะแนน'!F2)+1,10))</f>
        <v/>
      </c>
      <c r="E25" s="19">
        <f>'📝 กรอกคะแนน'!I2</f>
        <v/>
      </c>
      <c r="F25" s="19">
        <f>'📝 กรอกคะแนน'!C2</f>
        <v/>
      </c>
      <c r="G25" s="11">
        <f>'📝 กรอกคะแนน'!J2&amp;"-"&amp;'📝 กรอกคะแนน'!L2</f>
        <v/>
      </c>
      <c r="H25" s="11">
        <f>'📝 กรอกคะแนน'!K2</f>
        <v/>
      </c>
      <c r="I25" s="11">
        <f>'📝 กรอกคะแนน'!D27</f>
        <v/>
      </c>
      <c r="J25" s="11">
        <f>'📝 กรอกคะแนน'!E27</f>
        <v/>
      </c>
      <c r="K25" s="11">
        <f>'📝 กรอกคะแนน'!F27</f>
        <v/>
      </c>
      <c r="L25" s="11">
        <f>'📝 กรอกคะแนน'!G27</f>
        <v/>
      </c>
      <c r="M25" s="11">
        <f>'📝 กรอกคะแนน'!H27</f>
        <v/>
      </c>
      <c r="N25" s="11">
        <f>'📝 กรอกคะแนน'!I27</f>
        <v/>
      </c>
      <c r="O25" s="11">
        <f>IF('📝 กรอกคะแนน'!J27="✅ ดีเยี่ยม","excellent",IF('📝 กรอกคะแนน'!J27="⬜ ผ่าน","pass",IF('📝 กรอกคะแนน'!J27="❌ ไม่ผ่าน","fail","")))</f>
        <v/>
      </c>
      <c r="P25" s="19">
        <f>'📝 กรอกคะแนน'!K27</f>
        <v/>
      </c>
    </row>
    <row r="26">
      <c r="A26" s="6">
        <f>'📝 กรอกคะแนน'!B28</f>
        <v/>
      </c>
      <c r="B26" s="20">
        <f>'📝 กรอกคะแนน'!C28</f>
        <v/>
      </c>
      <c r="C26" s="6">
        <f>IF(ISERROR(FIND("/",'📝 กรอกคะแนน'!F2)),'📝 กรอกคะแนน'!F2,LEFT('📝 กรอกคะแนน'!F2,FIND("/",'📝 กรอกคะแนน'!F2)-1))</f>
        <v/>
      </c>
      <c r="D26" s="6">
        <f>IF(ISERROR(FIND("/",'📝 กรอกคะแนน'!F2)),"",MID('📝 กรอกคะแนน'!F2,FIND("/",'📝 กรอกคะแนน'!F2)+1,10))</f>
        <v/>
      </c>
      <c r="E26" s="20">
        <f>'📝 กรอกคะแนน'!I2</f>
        <v/>
      </c>
      <c r="F26" s="20">
        <f>'📝 กรอกคะแนน'!C2</f>
        <v/>
      </c>
      <c r="G26" s="6">
        <f>'📝 กรอกคะแนน'!J2&amp;"-"&amp;'📝 กรอกคะแนน'!L2</f>
        <v/>
      </c>
      <c r="H26" s="6">
        <f>'📝 กรอกคะแนน'!K2</f>
        <v/>
      </c>
      <c r="I26" s="6">
        <f>'📝 กรอกคะแนน'!D28</f>
        <v/>
      </c>
      <c r="J26" s="6">
        <f>'📝 กรอกคะแนน'!E28</f>
        <v/>
      </c>
      <c r="K26" s="6">
        <f>'📝 กรอกคะแนน'!F28</f>
        <v/>
      </c>
      <c r="L26" s="6">
        <f>'📝 กรอกคะแนน'!G28</f>
        <v/>
      </c>
      <c r="M26" s="6">
        <f>'📝 กรอกคะแนน'!H28</f>
        <v/>
      </c>
      <c r="N26" s="6">
        <f>'📝 กรอกคะแนน'!I28</f>
        <v/>
      </c>
      <c r="O26" s="6">
        <f>IF('📝 กรอกคะแนน'!J28="✅ ดีเยี่ยม","excellent",IF('📝 กรอกคะแนน'!J28="⬜ ผ่าน","pass",IF('📝 กรอกคะแนน'!J28="❌ ไม่ผ่าน","fail","")))</f>
        <v/>
      </c>
      <c r="P26" s="20">
        <f>'📝 กรอกคะแนน'!K28</f>
        <v/>
      </c>
    </row>
    <row r="27">
      <c r="A27" s="11">
        <f>'📝 กรอกคะแนน'!B29</f>
        <v/>
      </c>
      <c r="B27" s="19">
        <f>'📝 กรอกคะแนน'!C29</f>
        <v/>
      </c>
      <c r="C27" s="11">
        <f>IF(ISERROR(FIND("/",'📝 กรอกคะแนน'!F2)),'📝 กรอกคะแนน'!F2,LEFT('📝 กรอกคะแนน'!F2,FIND("/",'📝 กรอกคะแนน'!F2)-1))</f>
        <v/>
      </c>
      <c r="D27" s="11">
        <f>IF(ISERROR(FIND("/",'📝 กรอกคะแนน'!F2)),"",MID('📝 กรอกคะแนน'!F2,FIND("/",'📝 กรอกคะแนน'!F2)+1,10))</f>
        <v/>
      </c>
      <c r="E27" s="19">
        <f>'📝 กรอกคะแนน'!I2</f>
        <v/>
      </c>
      <c r="F27" s="19">
        <f>'📝 กรอกคะแนน'!C2</f>
        <v/>
      </c>
      <c r="G27" s="11">
        <f>'📝 กรอกคะแนน'!J2&amp;"-"&amp;'📝 กรอกคะแนน'!L2</f>
        <v/>
      </c>
      <c r="H27" s="11">
        <f>'📝 กรอกคะแนน'!K2</f>
        <v/>
      </c>
      <c r="I27" s="11">
        <f>'📝 กรอกคะแนน'!D29</f>
        <v/>
      </c>
      <c r="J27" s="11">
        <f>'📝 กรอกคะแนน'!E29</f>
        <v/>
      </c>
      <c r="K27" s="11">
        <f>'📝 กรอกคะแนน'!F29</f>
        <v/>
      </c>
      <c r="L27" s="11">
        <f>'📝 กรอกคะแนน'!G29</f>
        <v/>
      </c>
      <c r="M27" s="11">
        <f>'📝 กรอกคะแนน'!H29</f>
        <v/>
      </c>
      <c r="N27" s="11">
        <f>'📝 กรอกคะแนน'!I29</f>
        <v/>
      </c>
      <c r="O27" s="11">
        <f>IF('📝 กรอกคะแนน'!J29="✅ ดีเยี่ยม","excellent",IF('📝 กรอกคะแนน'!J29="⬜ ผ่าน","pass",IF('📝 กรอกคะแนน'!J29="❌ ไม่ผ่าน","fail","")))</f>
        <v/>
      </c>
      <c r="P27" s="19">
        <f>'📝 กรอกคะแนน'!K29</f>
        <v/>
      </c>
    </row>
    <row r="28">
      <c r="A28" s="6">
        <f>'📝 กรอกคะแนน'!B30</f>
        <v/>
      </c>
      <c r="B28" s="20">
        <f>'📝 กรอกคะแนน'!C30</f>
        <v/>
      </c>
      <c r="C28" s="6">
        <f>IF(ISERROR(FIND("/",'📝 กรอกคะแนน'!F2)),'📝 กรอกคะแนน'!F2,LEFT('📝 กรอกคะแนน'!F2,FIND("/",'📝 กรอกคะแนน'!F2)-1))</f>
        <v/>
      </c>
      <c r="D28" s="6">
        <f>IF(ISERROR(FIND("/",'📝 กรอกคะแนน'!F2)),"",MID('📝 กรอกคะแนน'!F2,FIND("/",'📝 กรอกคะแนน'!F2)+1,10))</f>
        <v/>
      </c>
      <c r="E28" s="20">
        <f>'📝 กรอกคะแนน'!I2</f>
        <v/>
      </c>
      <c r="F28" s="20">
        <f>'📝 กรอกคะแนน'!C2</f>
        <v/>
      </c>
      <c r="G28" s="6">
        <f>'📝 กรอกคะแนน'!J2&amp;"-"&amp;'📝 กรอกคะแนน'!L2</f>
        <v/>
      </c>
      <c r="H28" s="6">
        <f>'📝 กรอกคะแนน'!K2</f>
        <v/>
      </c>
      <c r="I28" s="6">
        <f>'📝 กรอกคะแนน'!D30</f>
        <v/>
      </c>
      <c r="J28" s="6">
        <f>'📝 กรอกคะแนน'!E30</f>
        <v/>
      </c>
      <c r="K28" s="6">
        <f>'📝 กรอกคะแนน'!F30</f>
        <v/>
      </c>
      <c r="L28" s="6">
        <f>'📝 กรอกคะแนน'!G30</f>
        <v/>
      </c>
      <c r="M28" s="6">
        <f>'📝 กรอกคะแนน'!H30</f>
        <v/>
      </c>
      <c r="N28" s="6">
        <f>'📝 กรอกคะแนน'!I30</f>
        <v/>
      </c>
      <c r="O28" s="6">
        <f>IF('📝 กรอกคะแนน'!J30="✅ ดีเยี่ยม","excellent",IF('📝 กรอกคะแนน'!J30="⬜ ผ่าน","pass",IF('📝 กรอกคะแนน'!J30="❌ ไม่ผ่าน","fail","")))</f>
        <v/>
      </c>
      <c r="P28" s="20">
        <f>'📝 กรอกคะแนน'!K30</f>
        <v/>
      </c>
    </row>
    <row r="29">
      <c r="A29" s="11">
        <f>'📝 กรอกคะแนน'!B31</f>
        <v/>
      </c>
      <c r="B29" s="19">
        <f>'📝 กรอกคะแนน'!C31</f>
        <v/>
      </c>
      <c r="C29" s="11">
        <f>IF(ISERROR(FIND("/",'📝 กรอกคะแนน'!F2)),'📝 กรอกคะแนน'!F2,LEFT('📝 กรอกคะแนน'!F2,FIND("/",'📝 กรอกคะแนน'!F2)-1))</f>
        <v/>
      </c>
      <c r="D29" s="11">
        <f>IF(ISERROR(FIND("/",'📝 กรอกคะแนน'!F2)),"",MID('📝 กรอกคะแนน'!F2,FIND("/",'📝 กรอกคะแนน'!F2)+1,10))</f>
        <v/>
      </c>
      <c r="E29" s="19">
        <f>'📝 กรอกคะแนน'!I2</f>
        <v/>
      </c>
      <c r="F29" s="19">
        <f>'📝 กรอกคะแนน'!C2</f>
        <v/>
      </c>
      <c r="G29" s="11">
        <f>'📝 กรอกคะแนน'!J2&amp;"-"&amp;'📝 กรอกคะแนน'!L2</f>
        <v/>
      </c>
      <c r="H29" s="11">
        <f>'📝 กรอกคะแนน'!K2</f>
        <v/>
      </c>
      <c r="I29" s="11">
        <f>'📝 กรอกคะแนน'!D31</f>
        <v/>
      </c>
      <c r="J29" s="11">
        <f>'📝 กรอกคะแนน'!E31</f>
        <v/>
      </c>
      <c r="K29" s="11">
        <f>'📝 กรอกคะแนน'!F31</f>
        <v/>
      </c>
      <c r="L29" s="11">
        <f>'📝 กรอกคะแนน'!G31</f>
        <v/>
      </c>
      <c r="M29" s="11">
        <f>'📝 กรอกคะแนน'!H31</f>
        <v/>
      </c>
      <c r="N29" s="11">
        <f>'📝 กรอกคะแนน'!I31</f>
        <v/>
      </c>
      <c r="O29" s="11">
        <f>IF('📝 กรอกคะแนน'!J31="✅ ดีเยี่ยม","excellent",IF('📝 กรอกคะแนน'!J31="⬜ ผ่าน","pass",IF('📝 กรอกคะแนน'!J31="❌ ไม่ผ่าน","fail","")))</f>
        <v/>
      </c>
      <c r="P29" s="19">
        <f>'📝 กรอกคะแนน'!K31</f>
        <v/>
      </c>
    </row>
    <row r="30">
      <c r="A30" s="6">
        <f>'📝 กรอกคะแนน'!B32</f>
        <v/>
      </c>
      <c r="B30" s="20">
        <f>'📝 กรอกคะแนน'!C32</f>
        <v/>
      </c>
      <c r="C30" s="6">
        <f>IF(ISERROR(FIND("/",'📝 กรอกคะแนน'!F2)),'📝 กรอกคะแนน'!F2,LEFT('📝 กรอกคะแนน'!F2,FIND("/",'📝 กรอกคะแนน'!F2)-1))</f>
        <v/>
      </c>
      <c r="D30" s="6">
        <f>IF(ISERROR(FIND("/",'📝 กรอกคะแนน'!F2)),"",MID('📝 กรอกคะแนน'!F2,FIND("/",'📝 กรอกคะแนน'!F2)+1,10))</f>
        <v/>
      </c>
      <c r="E30" s="20">
        <f>'📝 กรอกคะแนน'!I2</f>
        <v/>
      </c>
      <c r="F30" s="20">
        <f>'📝 กรอกคะแนน'!C2</f>
        <v/>
      </c>
      <c r="G30" s="6">
        <f>'📝 กรอกคะแนน'!J2&amp;"-"&amp;'📝 กรอกคะแนน'!L2</f>
        <v/>
      </c>
      <c r="H30" s="6">
        <f>'📝 กรอกคะแนน'!K2</f>
        <v/>
      </c>
      <c r="I30" s="6">
        <f>'📝 กรอกคะแนน'!D32</f>
        <v/>
      </c>
      <c r="J30" s="6">
        <f>'📝 กรอกคะแนน'!E32</f>
        <v/>
      </c>
      <c r="K30" s="6">
        <f>'📝 กรอกคะแนน'!F32</f>
        <v/>
      </c>
      <c r="L30" s="6">
        <f>'📝 กรอกคะแนน'!G32</f>
        <v/>
      </c>
      <c r="M30" s="6">
        <f>'📝 กรอกคะแนน'!H32</f>
        <v/>
      </c>
      <c r="N30" s="6">
        <f>'📝 กรอกคะแนน'!I32</f>
        <v/>
      </c>
      <c r="O30" s="6">
        <f>IF('📝 กรอกคะแนน'!J32="✅ ดีเยี่ยม","excellent",IF('📝 กรอกคะแนน'!J32="⬜ ผ่าน","pass",IF('📝 กรอกคะแนน'!J32="❌ ไม่ผ่าน","fail","")))</f>
        <v/>
      </c>
      <c r="P30" s="20">
        <f>'📝 กรอกคะแนน'!K32</f>
        <v/>
      </c>
    </row>
    <row r="31">
      <c r="A31" s="11">
        <f>'📝 กรอกคะแนน'!B33</f>
        <v/>
      </c>
      <c r="B31" s="19">
        <f>'📝 กรอกคะแนน'!C33</f>
        <v/>
      </c>
      <c r="C31" s="11">
        <f>IF(ISERROR(FIND("/",'📝 กรอกคะแนน'!F2)),'📝 กรอกคะแนน'!F2,LEFT('📝 กรอกคะแนน'!F2,FIND("/",'📝 กรอกคะแนน'!F2)-1))</f>
        <v/>
      </c>
      <c r="D31" s="11">
        <f>IF(ISERROR(FIND("/",'📝 กรอกคะแนน'!F2)),"",MID('📝 กรอกคะแนน'!F2,FIND("/",'📝 กรอกคะแนน'!F2)+1,10))</f>
        <v/>
      </c>
      <c r="E31" s="19">
        <f>'📝 กรอกคะแนน'!I2</f>
        <v/>
      </c>
      <c r="F31" s="19">
        <f>'📝 กรอกคะแนน'!C2</f>
        <v/>
      </c>
      <c r="G31" s="11">
        <f>'📝 กรอกคะแนน'!J2&amp;"-"&amp;'📝 กรอกคะแนน'!L2</f>
        <v/>
      </c>
      <c r="H31" s="11">
        <f>'📝 กรอกคะแนน'!K2</f>
        <v/>
      </c>
      <c r="I31" s="11">
        <f>'📝 กรอกคะแนน'!D33</f>
        <v/>
      </c>
      <c r="J31" s="11">
        <f>'📝 กรอกคะแนน'!E33</f>
        <v/>
      </c>
      <c r="K31" s="11">
        <f>'📝 กรอกคะแนน'!F33</f>
        <v/>
      </c>
      <c r="L31" s="11">
        <f>'📝 กรอกคะแนน'!G33</f>
        <v/>
      </c>
      <c r="M31" s="11">
        <f>'📝 กรอกคะแนน'!H33</f>
        <v/>
      </c>
      <c r="N31" s="11">
        <f>'📝 กรอกคะแนน'!I33</f>
        <v/>
      </c>
      <c r="O31" s="11">
        <f>IF('📝 กรอกคะแนน'!J33="✅ ดีเยี่ยม","excellent",IF('📝 กรอกคะแนน'!J33="⬜ ผ่าน","pass",IF('📝 กรอกคะแนน'!J33="❌ ไม่ผ่าน","fail","")))</f>
        <v/>
      </c>
      <c r="P31" s="19">
        <f>'📝 กรอกคะแนน'!K33</f>
        <v/>
      </c>
    </row>
    <row r="32">
      <c r="A32" s="6">
        <f>'📝 กรอกคะแนน'!B34</f>
        <v/>
      </c>
      <c r="B32" s="20">
        <f>'📝 กรอกคะแนน'!C34</f>
        <v/>
      </c>
      <c r="C32" s="6">
        <f>IF(ISERROR(FIND("/",'📝 กรอกคะแนน'!F2)),'📝 กรอกคะแนน'!F2,LEFT('📝 กรอกคะแนน'!F2,FIND("/",'📝 กรอกคะแนน'!F2)-1))</f>
        <v/>
      </c>
      <c r="D32" s="6">
        <f>IF(ISERROR(FIND("/",'📝 กรอกคะแนน'!F2)),"",MID('📝 กรอกคะแนน'!F2,FIND("/",'📝 กรอกคะแนน'!F2)+1,10))</f>
        <v/>
      </c>
      <c r="E32" s="20">
        <f>'📝 กรอกคะแนน'!I2</f>
        <v/>
      </c>
      <c r="F32" s="20">
        <f>'📝 กรอกคะแนน'!C2</f>
        <v/>
      </c>
      <c r="G32" s="6">
        <f>'📝 กรอกคะแนน'!J2&amp;"-"&amp;'📝 กรอกคะแนน'!L2</f>
        <v/>
      </c>
      <c r="H32" s="6">
        <f>'📝 กรอกคะแนน'!K2</f>
        <v/>
      </c>
      <c r="I32" s="6">
        <f>'📝 กรอกคะแนน'!D34</f>
        <v/>
      </c>
      <c r="J32" s="6">
        <f>'📝 กรอกคะแนน'!E34</f>
        <v/>
      </c>
      <c r="K32" s="6">
        <f>'📝 กรอกคะแนน'!F34</f>
        <v/>
      </c>
      <c r="L32" s="6">
        <f>'📝 กรอกคะแนน'!G34</f>
        <v/>
      </c>
      <c r="M32" s="6">
        <f>'📝 กรอกคะแนน'!H34</f>
        <v/>
      </c>
      <c r="N32" s="6">
        <f>'📝 กรอกคะแนน'!I34</f>
        <v/>
      </c>
      <c r="O32" s="6">
        <f>IF('📝 กรอกคะแนน'!J34="✅ ดีเยี่ยม","excellent",IF('📝 กรอกคะแนน'!J34="⬜ ผ่าน","pass",IF('📝 กรอกคะแนน'!J34="❌ ไม่ผ่าน","fail","")))</f>
        <v/>
      </c>
      <c r="P32" s="20">
        <f>'📝 กรอกคะแนน'!K34</f>
        <v/>
      </c>
    </row>
    <row r="34" ht="20" customHeight="1">
      <c r="A34" s="21" t="inlineStr">
        <is>
          <t>💡 วิธี upload: บันทึกไฟล์ → เปิด ATLAS → เลือก 'นำเข้าคะแนน PBL' → อัปโหลดไฟล์ → ระบบอ่านแท็บนี้อัตโนมัติ</t>
        </is>
      </c>
    </row>
  </sheetData>
  <mergeCells count="2">
    <mergeCell ref="A34:N34"/>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18" customWidth="1" min="1" max="1"/>
    <col width="58" customWidth="1" min="2" max="2"/>
    <col width="50" customWidth="1" min="3" max="3"/>
  </cols>
  <sheetData>
    <row r="1" ht="28" customHeight="1">
      <c r="A1" s="22" t="inlineStr">
        <is>
          <t>📖  คู่มือการใช้งาน Template PBL  (v2 — ไม่มี Peer Assessment)</t>
        </is>
      </c>
    </row>
    <row r="2" ht="52" customHeight="1">
      <c r="A2" s="23" t="inlineStr">
        <is>
          <t>ขั้นที่ 1 — ข้อมูลโปรเจกต์</t>
        </is>
      </c>
      <c r="B2" s="24" t="inlineStr">
        <is>
          <t>กรอกแถว 2: ชื่อโปรเจกต์ / ชั้น-ห้อง (เช่น ป.4/KBW) / ครูผู้รับผิดชอบ / ปีการศึกษา / เดือน / term
→ กรอกครั้งเดียวต่อ 1 โปรเจกต์</t>
        </is>
      </c>
    </row>
    <row r="3" ht="52" customHeight="1">
      <c r="A3" s="23" t="inlineStr">
        <is>
          <t>ขั้นที่ 2 — รหัส-ชื่อนักเรียน</t>
        </is>
      </c>
      <c r="B3" s="24" t="inlineStr">
        <is>
          <t>กรอกรหัสนักเรียน (คอลัมน์ B) และชื่อ-สกุล (คอลัมน์ C)
→ ทำครั้งเดียวแล้ว copy ใช้ซ้ำได้ทุกโปรเจกต์</t>
        </is>
      </c>
    </row>
    <row r="4" ht="52" customHeight="1">
      <c r="A4" s="23" t="inlineStr">
        <is>
          <t>ขั้นที่ 3 — กรอกคะแนน 5 ด้าน
(ทำตอนนำเสนอผลงาน สัปดาห์ 4)</t>
        </is>
      </c>
      <c r="B4" s="24" t="inlineStr">
        <is>
          <t>เลือก 3 / 2 / 1 จาก dropdown สำหรับทุกด้าน:
• D = การสื่อสาร
• E = การคิด
• F = การแก้ปัญหา
• G = ทักษะชีวิต  ← ครูสังเกตเองตลอด 4 สัปดาห์
• H = เทคโนโลยี
→ ใช้เวลาประมาณ 15–20 นาที ต่อ 1 ห้อง (30 คน × 5 ด้าน)</t>
        </is>
      </c>
    </row>
    <row r="5" ht="52" customHeight="1">
      <c r="A5" s="23" t="inlineStr">
        <is>
          <t>ขั้นที่ 4 — หมายเหตุ</t>
        </is>
      </c>
      <c r="B5" s="24" t="inlineStr">
        <is>
          <t>กรอกคอลัมน์ K เฉพาะเด็กที่ได้ ❌ ไม่ผ่าน
→ ระบุสาเหตุและแนวทางพัฒนา</t>
        </is>
      </c>
    </row>
    <row r="6" ht="52" customHeight="1">
      <c r="A6" s="23" t="inlineStr">
        <is>
          <t>ขั้นที่ 5 — Upload ATLAS</t>
        </is>
      </c>
      <c r="B6" s="24" t="inlineStr">
        <is>
          <t>บันทึกไฟล์ → เปิด ATLAS → นำเข้าคะแนน PBL → อัปโหลดไฟล์
→ ระบบอ่านแท็บ 📤 ATLAS Import อัตโนมัติ ไม่ต้องตั้งค่าอะไรเพิ่ม</t>
        </is>
      </c>
    </row>
    <row r="7" ht="52" customHeight="1">
      <c r="A7" s="23" t="inlineStr">
        <is>
          <t>สูตรอัตโนมัติ</t>
        </is>
      </c>
      <c r="B7" s="24" t="inlineStr">
        <is>
          <t>คอลัมน์ I (รวม) และ J (สรุปผล) คำนวณเอง ไม่ต้องกรอก
เกณฑ์:
• ✅ ดีเยี่ยม = ไม่มีด้านใดได้ 1 และมีด้านที่ได้ 3 ตั้งแต่ 3 ด้านขึ้นไป
• ❌ ไม่ผ่าน = มีด้านใดได้ 1 อย่างน้อย 1 ด้าน
• ⬜ ผ่าน = ที่เหลือ</t>
        </is>
      </c>
    </row>
    <row r="8" ht="52" customHeight="1">
      <c r="A8" s="23" t="inlineStr">
        <is>
          <t>ข้อควรระวัง</t>
        </is>
      </c>
      <c r="B8" s="24" t="inlineStr">
        <is>
          <t>• ชั้น/ห้องต้องพิมพ์รูปแบบ ป.4/KBW (มีเครื่องหมาย /)
• student_id ต้องตรงกับรหัสในฐานข้อมูล ATLAS
• ห้ามแก้ไขแท็บ 📤 ATLAS Import โดยตรง
• ⚠️ ปีการศึกษา (J2) และภาคเรียน (L2) ต้องเป็น "เทอมปัจจุบัน" ที่กำลังกรอกจริง — ตรวจทั้ง 2 ช่องทุกครั้งก่อน Upload (กรอกผิด/เป็นเทอมอนาคต ระบบ ATLAS จะปฏิเสธการนำเข้า)</t>
        </is>
      </c>
    </row>
    <row r="9" ht="10" customHeight="1"/>
    <row r="10" ht="26" customHeight="1">
      <c r="A10" s="25" t="inlineStr">
        <is>
          <t>📅  ตารางภาระงานครูตลอด 1 โปรเจกต์ (1 เดือน)</t>
        </is>
      </c>
    </row>
    <row r="11" ht="20" customHeight="1">
      <c r="A11" s="26" t="inlineStr">
        <is>
          <t>ช่วงเวลา</t>
        </is>
      </c>
      <c r="B11" s="26" t="inlineStr">
        <is>
          <t>ผู้ดำเนินการ</t>
        </is>
      </c>
      <c r="C11" s="26" t="inlineStr">
        <is>
          <t>สิ่งที่ต้องทำ</t>
        </is>
      </c>
    </row>
    <row r="12" ht="44" customHeight="1">
      <c r="A12" s="27" t="inlineStr">
        <is>
          <t>สัปดาห์ 1–4
(ตลอดโปรเจกต์)</t>
        </is>
      </c>
      <c r="B12" s="27" t="inlineStr">
        <is>
          <t>ครู</t>
        </is>
      </c>
      <c r="C12" s="27" t="inlineStr">
        <is>
          <t>สังเกตพฤติกรรมเด็กขณะทำงาน
→ ไม่ต้องกรอกอะไร</t>
        </is>
      </c>
    </row>
    <row r="13" ht="44" customHeight="1">
      <c r="A13" s="20" t="inlineStr">
        <is>
          <t>สัปดาห์ 4
(วันนำเสนอผลงาน)</t>
        </is>
      </c>
      <c r="B13" s="20" t="inlineStr">
        <is>
          <t>ครู</t>
        </is>
      </c>
      <c r="C13" s="20" t="inlineStr">
        <is>
          <t>กรอก dropdown 3/2/1 สมรรถนะ 5 ด้าน ครบทุกคน
→ ใช้เวลา ~15–20 นาที ต่อห้อง</t>
        </is>
      </c>
    </row>
    <row r="14" ht="44" customHeight="1">
      <c r="A14" s="27" t="inlineStr">
        <is>
          <t>หลังนำเสนอ</t>
        </is>
      </c>
      <c r="B14" s="27" t="inlineStr">
        <is>
          <t>ครู</t>
        </is>
      </c>
      <c r="C14" s="27" t="inlineStr">
        <is>
          <t>กรอกหมายเหตุเด็กที่ได้ ❌ ไม่ผ่าน → บันทึกไฟล์ → Upload ATLAS</t>
        </is>
      </c>
    </row>
    <row r="15" ht="8" customHeight="1"/>
    <row r="16" ht="24" customHeight="1">
      <c r="A16" s="28" t="inlineStr">
        <is>
          <t>💡  สรุป: ครูกรอกจริงเพียง 1 ครั้งต่อโปรเจกต์ (สัปดาห์ 4)  |  30 คน × 5 ด้าน = 150 ช่อง dropdown  |  ~15–20 นาที</t>
        </is>
      </c>
      <c r="B16" s="29" t="n"/>
      <c r="C16" s="30" t="n"/>
    </row>
  </sheetData>
  <mergeCells count="3">
    <mergeCell ref="A16:C16"/>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2026-06-17T02:33:00Z</dcterms:created>
  <dcterms:modified xsi:type="dcterms:W3CDTF">2026-06-29T06:08:53Z</dcterms:modified>
</cp:coreProperties>
</file>