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um_macmini/Downloads/"/>
    </mc:Choice>
  </mc:AlternateContent>
  <xr:revisionPtr revIDLastSave="0" documentId="8_{210466C9-4F59-3B46-837E-9985DBA80909}" xr6:coauthVersionLast="47" xr6:coauthVersionMax="47" xr10:uidLastSave="{00000000-0000-0000-0000-000000000000}"/>
  <bookViews>
    <workbookView xWindow="600" yWindow="600" windowWidth="16380" windowHeight="8200" tabRatio="500" xr2:uid="{00000000-000D-0000-FFFF-FFFF00000000}"/>
  </bookViews>
  <sheets>
    <sheet name="แบบบันทึกคะแนน" sheetId="1" r:id="rId1"/>
    <sheet name="คำแนะนำการใช้งาน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6" i="1" l="1"/>
  <c r="P36" i="1"/>
  <c r="S36" i="1" s="1"/>
  <c r="T36" i="1" s="1"/>
  <c r="Q35" i="1"/>
  <c r="P35" i="1"/>
  <c r="S35" i="1" s="1"/>
  <c r="T35" i="1" s="1"/>
  <c r="Q34" i="1"/>
  <c r="P34" i="1"/>
  <c r="S34" i="1" s="1"/>
  <c r="T34" i="1" s="1"/>
  <c r="S33" i="1"/>
  <c r="T33" i="1" s="1"/>
  <c r="Q33" i="1"/>
  <c r="P33" i="1"/>
  <c r="Q32" i="1"/>
  <c r="S32" i="1" s="1"/>
  <c r="T32" i="1" s="1"/>
  <c r="P32" i="1"/>
  <c r="Q31" i="1"/>
  <c r="P31" i="1"/>
  <c r="S31" i="1" s="1"/>
  <c r="T31" i="1" s="1"/>
  <c r="S30" i="1"/>
  <c r="T30" i="1" s="1"/>
  <c r="Q30" i="1"/>
  <c r="P30" i="1"/>
  <c r="T29" i="1"/>
  <c r="S29" i="1"/>
  <c r="Q29" i="1"/>
  <c r="P29" i="1"/>
  <c r="S28" i="1"/>
  <c r="T28" i="1" s="1"/>
  <c r="Q28" i="1"/>
  <c r="P28" i="1"/>
  <c r="Q27" i="1"/>
  <c r="S27" i="1" s="1"/>
  <c r="T27" i="1" s="1"/>
  <c r="P27" i="1"/>
  <c r="Q26" i="1"/>
  <c r="P26" i="1"/>
  <c r="S26" i="1" s="1"/>
  <c r="T26" i="1" s="1"/>
  <c r="S25" i="1"/>
  <c r="T25" i="1" s="1"/>
  <c r="Q25" i="1"/>
  <c r="P25" i="1"/>
  <c r="T24" i="1"/>
  <c r="S24" i="1"/>
  <c r="Q24" i="1"/>
  <c r="P24" i="1"/>
  <c r="S23" i="1"/>
  <c r="T23" i="1" s="1"/>
  <c r="Q23" i="1"/>
  <c r="P23" i="1"/>
  <c r="Q22" i="1"/>
  <c r="S22" i="1" s="1"/>
  <c r="T22" i="1" s="1"/>
  <c r="P22" i="1"/>
  <c r="Q21" i="1"/>
  <c r="P21" i="1"/>
  <c r="S21" i="1" s="1"/>
  <c r="T21" i="1" s="1"/>
  <c r="Q20" i="1"/>
  <c r="P20" i="1"/>
  <c r="S20" i="1" s="1"/>
  <c r="T20" i="1" s="1"/>
  <c r="T19" i="1"/>
  <c r="S19" i="1"/>
  <c r="Q19" i="1"/>
  <c r="P19" i="1"/>
  <c r="S18" i="1"/>
  <c r="T18" i="1" s="1"/>
  <c r="Q18" i="1"/>
  <c r="P18" i="1"/>
  <c r="Q17" i="1"/>
  <c r="S17" i="1" s="1"/>
  <c r="T17" i="1" s="1"/>
  <c r="P17" i="1"/>
  <c r="Q16" i="1"/>
  <c r="P16" i="1"/>
  <c r="S16" i="1" s="1"/>
  <c r="T16" i="1" s="1"/>
  <c r="Q15" i="1"/>
  <c r="P15" i="1"/>
  <c r="S15" i="1" s="1"/>
  <c r="T15" i="1" s="1"/>
  <c r="T14" i="1"/>
  <c r="S14" i="1"/>
  <c r="Q14" i="1"/>
  <c r="P14" i="1"/>
  <c r="S13" i="1"/>
  <c r="T13" i="1" s="1"/>
  <c r="Q13" i="1"/>
  <c r="P13" i="1"/>
  <c r="Q12" i="1"/>
  <c r="S12" i="1" s="1"/>
  <c r="T12" i="1" s="1"/>
  <c r="P12" i="1"/>
  <c r="R11" i="1"/>
  <c r="Q11" i="1"/>
  <c r="P11" i="1"/>
  <c r="S11" i="1" s="1"/>
  <c r="T11" i="1" s="1"/>
  <c r="R10" i="1"/>
  <c r="Q10" i="1"/>
  <c r="P10" i="1"/>
  <c r="S10" i="1" s="1"/>
  <c r="T10" i="1" s="1"/>
  <c r="R9" i="1"/>
  <c r="Q9" i="1"/>
  <c r="P9" i="1"/>
  <c r="S9" i="1" s="1"/>
  <c r="T9" i="1" s="1"/>
  <c r="R8" i="1"/>
  <c r="Q8" i="1"/>
  <c r="P8" i="1"/>
  <c r="S8" i="1" s="1"/>
  <c r="T8" i="1" s="1"/>
  <c r="R7" i="1"/>
  <c r="R37" i="1" s="1"/>
  <c r="Q7" i="1"/>
  <c r="Q37" i="1" s="1"/>
  <c r="P7" i="1"/>
  <c r="P37" i="1" s="1"/>
  <c r="L3" i="1"/>
  <c r="S7" i="1" l="1"/>
  <c r="S37" i="1" l="1"/>
  <c r="T7" i="1"/>
  <c r="T37" i="1" s="1"/>
</calcChain>
</file>

<file path=xl/sharedStrings.xml><?xml version="1.0" encoding="utf-8"?>
<sst xmlns="http://schemas.openxmlformats.org/spreadsheetml/2006/main" count="69" uniqueCount="64">
  <si>
    <t>โรงเรียนวรนาถวิทยากำแพงเพชร — แบบบันทึกคะแนนหลังหน่วยการเรียนรู้</t>
  </si>
  <si>
    <t>วิชา:</t>
  </si>
  <si>
    <t>ชั้น/ห้อง:</t>
  </si>
  <si>
    <t>หน่วยที่:</t>
  </si>
  <si>
    <t>ภาคเรียน:</t>
  </si>
  <si>
    <t>วันที่สอบ:</t>
  </si>
  <si>
    <t>K เต็ม:</t>
  </si>
  <si>
    <t>P เต็ม:</t>
  </si>
  <si>
    <t>A เต็ม:</t>
  </si>
  <si>
    <t>รวมเต็ม (สูตร):</t>
  </si>
  <si>
    <t>📌  ข้อ 1–4 = K (ความรู้ความเข้าใจ)   |   ข้อ 5–10 = P (ทักษะ/กระบวนการ)   |   A = เจตคติ ครูให้คะแนนจากการสังเกตพฤติกรรม</t>
  </si>
  <si>
    <t>#</t>
  </si>
  <si>
    <t>รหัสนักเรียน</t>
  </si>
  <si>
    <t>ชื่อ-นามสกุล</t>
  </si>
  <si>
    <t>K — ความรู้ความเข้าใจ (ข้อ 1–4)</t>
  </si>
  <si>
    <t>P — ทักษะ/กระบวนการ (ข้อ 5–10)</t>
  </si>
  <si>
    <t>A — เจตคติ</t>
  </si>
  <si>
    <t>K รวม</t>
  </si>
  <si>
    <t>P รวม</t>
  </si>
  <si>
    <t>A รวม</t>
  </si>
  <si>
    <t>รวมทั้งหมด</t>
  </si>
  <si>
    <t>ผล PASS/STAY</t>
  </si>
  <si>
    <t>รหัส</t>
  </si>
  <si>
    <t>ข้อ 1</t>
  </si>
  <si>
    <t>ข้อ 2</t>
  </si>
  <si>
    <t>ข้อ 3</t>
  </si>
  <si>
    <t>ข้อ 4</t>
  </si>
  <si>
    <t>ข้อ 5</t>
  </si>
  <si>
    <t>ข้อ 6</t>
  </si>
  <si>
    <t>ข้อ 7</t>
  </si>
  <si>
    <t>ข้อ 8</t>
  </si>
  <si>
    <t>ข้อ 9</t>
  </si>
  <si>
    <t>ข้อ 10</t>
  </si>
  <si>
    <t>A</t>
  </si>
  <si>
    <t>รวม</t>
  </si>
  <si>
    <t>PASS/STAY</t>
  </si>
  <si>
    <t>12001</t>
  </si>
  <si>
    <t>ด.ญ. กัญญาณัฐ สุขใจ</t>
  </si>
  <si>
    <t>12002</t>
  </si>
  <si>
    <t>ด.ช. ณัฐวุฒิ มาลาวงษ์</t>
  </si>
  <si>
    <t>12003</t>
  </si>
  <si>
    <t>ด.ญ. ปภาวรินทร์ ทองคำ</t>
  </si>
  <si>
    <t>12004</t>
  </si>
  <si>
    <t>ด.ช. ภูมิพัฒน์ รักษาดี</t>
  </si>
  <si>
    <t>12005</t>
  </si>
  <si>
    <t>ด.ญ. วริศรา แสงจันทร์</t>
  </si>
  <si>
    <t>สรุปห้องเรียน</t>
  </si>
  <si>
    <t>โรงเรียนวรนาถวิทยากำแพงเพชร — คำแนะนำการใช้งานแบบบันทึกคะแนน</t>
  </si>
  <si>
    <t>วิธีใช้งาน (ทำตามลำดับ)</t>
  </si>
  <si>
    <t>1. กรอกข้อมูลหน่วยในแถวที่ 2: วิชา ชั้น/ห้อง หน่วยที่ ภาคเรียน วันที่สอบ</t>
  </si>
  <si>
    <t>2. ตรวจสอบคะแนนเต็ม K/P/A ในแถวที่ 3 (ปรับได้ตามจริง — ค่าเริ่มต้น K=4, P=6, A=2)</t>
  </si>
  <si>
    <t>3. กรอกรหัสนักเรียนในคอลัมน์ C (สำคัญ — ใช้จับคู่กับระบบ ATLAS)</t>
  </si>
  <si>
    <t>4. กรอกคะแนนรายข้อ (0 หรือ 1) ในคอลัมน์สีฟ้า (K ข้อ 1-4) และสีเขียว (P ข้อ 5-10)</t>
  </si>
  <si>
    <t>5. กรอกคะแนน A (เจตคติ) ในคอลัมน์สีเหลือง — ครูประเมินจากการสังเกตพฤติกรรม</t>
  </si>
  <si>
    <t>6. คอลัมน์ K รวม / P รวม / รวมทั้งหมด / PASS-STAY คำนวณให้อัตโนมัติ ไม่ต้องกรอก</t>
  </si>
  <si>
    <t>7. บันทึกไฟล์ แล้วนำเข้าแอป ATLAS ที่หน้า 'คะแนนหลังหน่วย' → 'นำเข้าจาก Excel'</t>
  </si>
  <si>
    <t>เกณฑ์ PASS / STAY</t>
  </si>
  <si>
    <t>PASS = คะแนนรวม ≥ 60% ของคะแนนเต็มทั้งหมด (K+P+A)</t>
  </si>
  <si>
    <t>STAY = คะแนนรวม &lt; 60% ต้องเข้ารับการซ่อมเสริม</t>
  </si>
  <si>
    <t>ข้อควรระวัง</t>
  </si>
  <si>
    <t>- รหัสนักเรียนต้องตรงกับในระบบ ATLAS ทุกตัวอักษร</t>
  </si>
  <si>
    <t>- ห้ามกรอกในคอลัมน์สีเทา (K รวม, P รวม, รวม, PASS/STAY) — เป็นสูตรคำนวณ</t>
  </si>
  <si>
    <t>- ข้อสอบ 1 ข้อ = 1 คะแนน กรอกได้แค่ 0 หรือ 1 เท่านั้น</t>
  </si>
  <si>
    <t>- ถ้านักเรียนไม่ได้สอบ ให้เว้นว่างไว้ ห้ามกรอก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</si>
</sst>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3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1D4ED8"/>
      <name val="Arial"/>
      <charset val="1"/>
    </font>
    <font>
      <b/>
      <sz val="12"/>
      <color rgb="FF1D4ED8"/>
      <name val="Arial"/>
      <charset val="1"/>
    </font>
    <font>
      <b/>
      <sz val="11"/>
      <color rgb="FF15803D"/>
      <name val="Arial"/>
      <charset val="1"/>
    </font>
    <font>
      <b/>
      <sz val="12"/>
      <color rgb="FF15803D"/>
      <name val="Arial"/>
      <charset val="1"/>
    </font>
    <font>
      <b/>
      <sz val="11"/>
      <color rgb="FF92400E"/>
      <name val="Arial"/>
      <charset val="1"/>
    </font>
    <font>
      <b/>
      <sz val="12"/>
      <color rgb="FF92400E"/>
      <name val="Arial"/>
      <charset val="1"/>
    </font>
    <font>
      <b/>
      <sz val="12"/>
      <color rgb="FF1E3A5F"/>
      <name val="Arial"/>
      <charset val="1"/>
    </font>
    <font>
      <sz val="10"/>
      <color rgb="FF374151"/>
      <name val="Arial"/>
      <charset val="1"/>
    </font>
    <font>
      <b/>
      <sz val="10"/>
      <color rgb="FFFFFFFF"/>
      <name val="Arial"/>
      <charset val="1"/>
    </font>
    <font>
      <b/>
      <sz val="10"/>
      <color rgb="FF1D4ED8"/>
      <name val="Arial"/>
      <charset val="1"/>
    </font>
    <font>
      <b/>
      <sz val="10"/>
      <color rgb="FF15803D"/>
      <name val="Arial"/>
      <charset val="1"/>
    </font>
    <font>
      <b/>
      <sz val="10"/>
      <color rgb="FF92400E"/>
      <name val="Arial"/>
      <charset val="1"/>
    </font>
    <font>
      <b/>
      <sz val="10"/>
      <color rgb="FF1E3A5F"/>
      <name val="Arial"/>
      <charset val="1"/>
    </font>
    <font>
      <b/>
      <sz val="9"/>
      <color rgb="FFFFFFFF"/>
      <name val="Arial"/>
      <charset val="1"/>
    </font>
    <font>
      <b/>
      <sz val="9"/>
      <color rgb="FF1D4ED8"/>
      <name val="Arial"/>
      <charset val="1"/>
    </font>
    <font>
      <b/>
      <sz val="9"/>
      <color rgb="FF15803D"/>
      <name val="Arial"/>
      <charset val="1"/>
    </font>
    <font>
      <b/>
      <sz val="9"/>
      <color rgb="FF92400E"/>
      <name val="Arial"/>
      <charset val="1"/>
    </font>
    <font>
      <b/>
      <sz val="9"/>
      <color rgb="FF1E3A5F"/>
      <name val="Arial"/>
      <charset val="1"/>
    </font>
    <font>
      <sz val="10"/>
      <color rgb="FF6B728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1"/>
      <color rgb="FF000000"/>
      <name val="Arial"/>
      <charset val="1"/>
    </font>
    <font>
      <b/>
      <sz val="12"/>
      <color rgb="FFFFFFFF"/>
      <name val="Arial"/>
      <charset val="1"/>
    </font>
    <font>
      <sz val="11"/>
      <color rgb="FF1F2937"/>
      <name val="Arial"/>
      <charset val="1"/>
    </font>
    <font>
      <sz val="11"/>
      <color rgb="FF15803D"/>
      <name val="Arial"/>
      <charset val="1"/>
    </font>
    <font>
      <sz val="11"/>
      <color rgb="FFDC2626"/>
      <name val="Arial"/>
      <charset val="1"/>
    </font>
    <font>
      <sz val="11"/>
      <color rgb="FF92400E"/>
      <name val="Arial"/>
      <charset val="1"/>
    </font>
    <font>
      <sz val="11"/>
      <color rgb="FF374151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2D5986"/>
        <bgColor rgb="FF374151"/>
      </patternFill>
    </fill>
    <fill>
      <patternFill patternType="solid">
        <fgColor rgb="FFE8F0FE"/>
        <bgColor rgb="FFF0F4F8"/>
      </patternFill>
    </fill>
    <fill>
      <patternFill patternType="solid">
        <fgColor rgb="FFDBEAFE"/>
        <bgColor rgb="FFE8F0FE"/>
      </patternFill>
    </fill>
    <fill>
      <patternFill patternType="solid">
        <fgColor rgb="FFDCFCE7"/>
        <bgColor rgb="FFE8F0FE"/>
      </patternFill>
    </fill>
    <fill>
      <patternFill patternType="solid">
        <fgColor rgb="FFFEF9C3"/>
        <bgColor rgb="FFFFFBEB"/>
      </patternFill>
    </fill>
    <fill>
      <patternFill patternType="solid">
        <fgColor rgb="FFF3F4F6"/>
        <bgColor rgb="FFF0F4F8"/>
      </patternFill>
    </fill>
    <fill>
      <patternFill patternType="solid">
        <fgColor rgb="FFFFFBEB"/>
        <bgColor rgb="FFFFFFFF"/>
      </patternFill>
    </fill>
    <fill>
      <patternFill patternType="solid">
        <fgColor rgb="FFF0F7FF"/>
        <bgColor rgb="FFF0F4F8"/>
      </patternFill>
    </fill>
    <fill>
      <patternFill patternType="solid">
        <fgColor rgb="FFFFFFFF"/>
        <bgColor rgb="FFFFFBEB"/>
      </patternFill>
    </fill>
    <fill>
      <patternFill patternType="solid">
        <fgColor rgb="FFF0F4F8"/>
        <bgColor rgb="FFF3F4F6"/>
      </patternFill>
    </fill>
    <fill>
      <patternFill patternType="solid">
        <fgColor rgb="FFFEE2E2"/>
        <bgColor rgb="FFF3F4F6"/>
      </patternFill>
    </fill>
    <fill>
      <patternFill patternType="solid">
        <fgColor rgb="FF991B1B"/>
        <bgColor rgb="FF800000"/>
      </patternFill>
    </fill>
  </fills>
  <borders count="7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6" fillId="11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 vertical="center"/>
    </xf>
    <xf numFmtId="0" fontId="2" fillId="8" borderId="0" xfId="0" applyFont="1" applyFill="1" applyAlignment="1">
      <alignment horizontal="right" vertical="center"/>
    </xf>
    <xf numFmtId="0" fontId="8" fillId="7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1" fontId="10" fillId="8" borderId="0" xfId="0" applyNumberFormat="1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49" fontId="23" fillId="10" borderId="3" xfId="0" applyNumberFormat="1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left" vertical="center"/>
    </xf>
    <xf numFmtId="1" fontId="13" fillId="5" borderId="4" xfId="0" applyNumberFormat="1" applyFont="1" applyFill="1" applyBorder="1" applyAlignment="1">
      <alignment horizontal="center" vertical="center"/>
    </xf>
    <xf numFmtId="1" fontId="14" fillId="6" borderId="5" xfId="0" applyNumberFormat="1" applyFont="1" applyFill="1" applyBorder="1" applyAlignment="1">
      <alignment horizontal="center" vertical="center"/>
    </xf>
    <xf numFmtId="1" fontId="15" fillId="7" borderId="6" xfId="0" applyNumberFormat="1" applyFont="1" applyFill="1" applyBorder="1" applyAlignment="1">
      <alignment horizontal="center" vertical="center"/>
    </xf>
    <xf numFmtId="1" fontId="13" fillId="8" borderId="3" xfId="0" applyNumberFormat="1" applyFont="1" applyFill="1" applyBorder="1" applyAlignment="1">
      <alignment horizontal="center" vertical="center"/>
    </xf>
    <xf numFmtId="1" fontId="14" fillId="8" borderId="3" xfId="0" applyNumberFormat="1" applyFont="1" applyFill="1" applyBorder="1" applyAlignment="1">
      <alignment horizontal="center" vertical="center"/>
    </xf>
    <xf numFmtId="1" fontId="15" fillId="8" borderId="3" xfId="0" applyNumberFormat="1" applyFont="1" applyFill="1" applyBorder="1" applyAlignment="1">
      <alignment horizontal="center" vertical="center"/>
    </xf>
    <xf numFmtId="1" fontId="24" fillId="2" borderId="3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49" fontId="23" fillId="11" borderId="3" xfId="0" applyNumberFormat="1" applyFont="1" applyFill="1" applyBorder="1" applyAlignment="1">
      <alignment horizontal="center" vertical="center"/>
    </xf>
    <xf numFmtId="0" fontId="23" fillId="11" borderId="3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187" fontId="13" fillId="5" borderId="3" xfId="0" applyNumberFormat="1" applyFont="1" applyFill="1" applyBorder="1" applyAlignment="1">
      <alignment horizontal="center" vertical="center"/>
    </xf>
    <xf numFmtId="187" fontId="14" fillId="6" borderId="3" xfId="0" applyNumberFormat="1" applyFont="1" applyFill="1" applyBorder="1" applyAlignment="1">
      <alignment horizontal="center" vertical="center"/>
    </xf>
    <xf numFmtId="187" fontId="15" fillId="7" borderId="3" xfId="0" applyNumberFormat="1" applyFont="1" applyFill="1" applyBorder="1" applyAlignment="1">
      <alignment horizontal="center" vertical="center"/>
    </xf>
    <xf numFmtId="187" fontId="12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 wrapText="1"/>
    </xf>
    <xf numFmtId="0" fontId="28" fillId="12" borderId="0" xfId="0" applyFont="1" applyFill="1" applyAlignment="1">
      <alignment horizontal="left" vertical="center" wrapText="1"/>
    </xf>
    <xf numFmtId="0" fontId="28" fillId="11" borderId="0" xfId="0" applyFont="1" applyFill="1" applyAlignment="1">
      <alignment horizontal="left" vertical="center" wrapText="1"/>
    </xf>
    <xf numFmtId="0" fontId="29" fillId="6" borderId="0" xfId="0" applyFont="1" applyFill="1" applyAlignment="1">
      <alignment horizontal="left" vertical="center" wrapText="1"/>
    </xf>
    <xf numFmtId="0" fontId="30" fillId="13" borderId="0" xfId="0" applyFont="1" applyFill="1" applyAlignment="1">
      <alignment horizontal="left" vertical="center" wrapText="1"/>
    </xf>
    <xf numFmtId="0" fontId="27" fillId="14" borderId="0" xfId="0" applyFont="1" applyFill="1" applyAlignment="1">
      <alignment horizontal="center" vertical="center" wrapText="1"/>
    </xf>
    <xf numFmtId="0" fontId="31" fillId="9" borderId="0" xfId="0" applyFont="1" applyFill="1" applyAlignment="1">
      <alignment horizontal="left" vertical="center" wrapText="1"/>
    </xf>
    <xf numFmtId="0" fontId="32" fillId="11" borderId="0" xfId="0" applyFont="1" applyFill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991B1B"/>
      <rgbColor rgb="FF15803D"/>
      <rgbColor rgb="FF000080"/>
      <rgbColor rgb="FF808000"/>
      <rgbColor rgb="FF800080"/>
      <rgbColor rgb="FF2D5986"/>
      <rgbColor rgb="FFCCCCCC"/>
      <rgbColor rgb="FF4472C4"/>
      <rgbColor rgb="FF9999FF"/>
      <rgbColor rgb="FF993366"/>
      <rgbColor rgb="FFFEF9C3"/>
      <rgbColor rgb="FFDCFCE7"/>
      <rgbColor rgb="FF660066"/>
      <rgbColor rgb="FFFF8080"/>
      <rgbColor rgb="FF1D4ED8"/>
      <rgbColor rgb="FFF0F4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8F0FE"/>
      <rgbColor rgb="FFFFFBEB"/>
      <rgbColor rgb="FFF0F7FF"/>
      <rgbColor rgb="FFF3F4F6"/>
      <rgbColor rgb="FFCC99FF"/>
      <rgbColor rgb="FFFEE2E2"/>
      <rgbColor rgb="FF3B82F6"/>
      <rgbColor rgb="FF33CCCC"/>
      <rgbColor rgb="FF99CC00"/>
      <rgbColor rgb="FFEAB308"/>
      <rgbColor rgb="FFFF9900"/>
      <rgbColor rgb="FFFF6600"/>
      <rgbColor rgb="FF6B7280"/>
      <rgbColor rgb="FF969696"/>
      <rgbColor rgb="FF1E3A5F"/>
      <rgbColor rgb="FF22C55E"/>
      <rgbColor rgb="FF003300"/>
      <rgbColor rgb="FF333300"/>
      <rgbColor rgb="FF92400E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T1"/>
    </sheetView>
  </sheetViews>
  <sheetFormatPr baseColWidth="10" defaultColWidth="8.6640625" defaultRowHeight="15" x14ac:dyDescent="0.2"/>
  <cols>
    <col min="1" max="2" width="4" customWidth="1"/>
    <col min="3" max="3" width="14" customWidth="1"/>
    <col min="4" max="4" width="22" customWidth="1"/>
    <col min="5" max="14" width="7" customWidth="1"/>
    <col min="15" max="15" width="8" customWidth="1"/>
    <col min="16" max="18" width="9" customWidth="1"/>
    <col min="19" max="19" width="11" customWidth="1"/>
    <col min="20" max="20" width="13" customWidth="1"/>
  </cols>
  <sheetData>
    <row r="1" spans="1:20" ht="31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4" customHeight="1" x14ac:dyDescent="0.2">
      <c r="A2" s="15" t="s">
        <v>1</v>
      </c>
      <c r="B2" s="16"/>
      <c r="D2" s="15" t="s">
        <v>2</v>
      </c>
      <c r="E2" s="16"/>
      <c r="G2" s="15" t="s">
        <v>3</v>
      </c>
      <c r="H2" s="16"/>
      <c r="J2" s="15" t="s">
        <v>4</v>
      </c>
      <c r="K2" s="16"/>
      <c r="M2" s="15" t="s">
        <v>5</v>
      </c>
      <c r="N2" s="16"/>
    </row>
    <row r="3" spans="1:20" ht="21.75" customHeight="1" x14ac:dyDescent="0.2">
      <c r="A3" s="13" t="s">
        <v>6</v>
      </c>
      <c r="B3" s="13"/>
      <c r="C3" s="17">
        <v>4</v>
      </c>
      <c r="D3" s="12" t="s">
        <v>7</v>
      </c>
      <c r="E3" s="12"/>
      <c r="F3" s="18">
        <v>6</v>
      </c>
      <c r="G3" s="11" t="s">
        <v>8</v>
      </c>
      <c r="H3" s="11"/>
      <c r="I3" s="19">
        <v>2</v>
      </c>
      <c r="J3" s="10" t="s">
        <v>9</v>
      </c>
      <c r="K3" s="10"/>
      <c r="L3" s="20">
        <f>C3+F3+I3</f>
        <v>12</v>
      </c>
    </row>
    <row r="4" spans="1:20" ht="19.5" customHeight="1" x14ac:dyDescent="0.2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30" customHeight="1" x14ac:dyDescent="0.2">
      <c r="A5" s="8" t="s">
        <v>11</v>
      </c>
      <c r="B5" s="8"/>
      <c r="C5" s="21" t="s">
        <v>12</v>
      </c>
      <c r="D5" s="21" t="s">
        <v>13</v>
      </c>
      <c r="E5" s="7" t="s">
        <v>14</v>
      </c>
      <c r="F5" s="7"/>
      <c r="G5" s="7"/>
      <c r="H5" s="7"/>
      <c r="I5" s="6" t="s">
        <v>15</v>
      </c>
      <c r="J5" s="6"/>
      <c r="K5" s="6"/>
      <c r="L5" s="6"/>
      <c r="M5" s="6"/>
      <c r="N5" s="6"/>
      <c r="O5" s="22" t="s">
        <v>16</v>
      </c>
      <c r="P5" s="23" t="s">
        <v>17</v>
      </c>
      <c r="Q5" s="23" t="s">
        <v>18</v>
      </c>
      <c r="R5" s="23" t="s">
        <v>19</v>
      </c>
      <c r="S5" s="21" t="s">
        <v>20</v>
      </c>
      <c r="T5" s="21" t="s">
        <v>21</v>
      </c>
    </row>
    <row r="6" spans="1:20" ht="21.75" customHeight="1" x14ac:dyDescent="0.2">
      <c r="A6" s="24" t="s">
        <v>11</v>
      </c>
      <c r="B6" s="24"/>
      <c r="C6" s="24" t="s">
        <v>22</v>
      </c>
      <c r="D6" s="24" t="s">
        <v>13</v>
      </c>
      <c r="E6" s="25" t="s">
        <v>23</v>
      </c>
      <c r="F6" s="25" t="s">
        <v>24</v>
      </c>
      <c r="G6" s="25" t="s">
        <v>25</v>
      </c>
      <c r="H6" s="25" t="s">
        <v>26</v>
      </c>
      <c r="I6" s="26" t="s">
        <v>27</v>
      </c>
      <c r="J6" s="26" t="s">
        <v>28</v>
      </c>
      <c r="K6" s="26" t="s">
        <v>29</v>
      </c>
      <c r="L6" s="26" t="s">
        <v>30</v>
      </c>
      <c r="M6" s="26" t="s">
        <v>31</v>
      </c>
      <c r="N6" s="26" t="s">
        <v>32</v>
      </c>
      <c r="O6" s="27" t="s">
        <v>33</v>
      </c>
      <c r="P6" s="28" t="s">
        <v>17</v>
      </c>
      <c r="Q6" s="28" t="s">
        <v>18</v>
      </c>
      <c r="R6" s="28" t="s">
        <v>19</v>
      </c>
      <c r="S6" s="24" t="s">
        <v>34</v>
      </c>
      <c r="T6" s="24" t="s">
        <v>35</v>
      </c>
    </row>
    <row r="7" spans="1:20" ht="19.5" customHeight="1" x14ac:dyDescent="0.2">
      <c r="A7" s="5">
        <v>1</v>
      </c>
      <c r="B7" s="5"/>
      <c r="C7" s="29" t="s">
        <v>36</v>
      </c>
      <c r="D7" s="30" t="s">
        <v>37</v>
      </c>
      <c r="E7" s="31">
        <v>1</v>
      </c>
      <c r="F7" s="31">
        <v>1</v>
      </c>
      <c r="G7" s="31">
        <v>0</v>
      </c>
      <c r="H7" s="31">
        <v>1</v>
      </c>
      <c r="I7" s="32">
        <v>1</v>
      </c>
      <c r="J7" s="32">
        <v>1</v>
      </c>
      <c r="K7" s="32">
        <v>0</v>
      </c>
      <c r="L7" s="32">
        <v>1</v>
      </c>
      <c r="M7" s="32">
        <v>1</v>
      </c>
      <c r="N7" s="32">
        <v>0</v>
      </c>
      <c r="O7" s="33">
        <v>2</v>
      </c>
      <c r="P7" s="34">
        <f t="shared" ref="P7:P36" si="0">SUM(E7:H7)</f>
        <v>3</v>
      </c>
      <c r="Q7" s="35">
        <f t="shared" ref="Q7:Q36" si="1">SUM(I7:N7)</f>
        <v>4</v>
      </c>
      <c r="R7" s="36">
        <f>O7</f>
        <v>2</v>
      </c>
      <c r="S7" s="37">
        <f t="shared" ref="S7:S36" si="2">SUM(P7:R7)</f>
        <v>9</v>
      </c>
      <c r="T7" s="38" t="str">
        <f t="shared" ref="T7:T36" si="3">IF(S7="","",IF(S7&gt;=($C$3+$F$3+$I$3)*0.6,"PASS","STAY"))</f>
        <v>PASS</v>
      </c>
    </row>
    <row r="8" spans="1:20" ht="19.5" customHeight="1" x14ac:dyDescent="0.2">
      <c r="A8" s="4">
        <v>2</v>
      </c>
      <c r="B8" s="4"/>
      <c r="C8" s="39" t="s">
        <v>38</v>
      </c>
      <c r="D8" s="40" t="s">
        <v>39</v>
      </c>
      <c r="E8" s="31">
        <v>1</v>
      </c>
      <c r="F8" s="31">
        <v>0</v>
      </c>
      <c r="G8" s="31">
        <v>0</v>
      </c>
      <c r="H8" s="31">
        <v>1</v>
      </c>
      <c r="I8" s="32">
        <v>0</v>
      </c>
      <c r="J8" s="32">
        <v>1</v>
      </c>
      <c r="K8" s="32">
        <v>0</v>
      </c>
      <c r="L8" s="32">
        <v>0</v>
      </c>
      <c r="M8" s="32">
        <v>1</v>
      </c>
      <c r="N8" s="32">
        <v>0</v>
      </c>
      <c r="O8" s="33">
        <v>1</v>
      </c>
      <c r="P8" s="34">
        <f t="shared" si="0"/>
        <v>2</v>
      </c>
      <c r="Q8" s="35">
        <f t="shared" si="1"/>
        <v>2</v>
      </c>
      <c r="R8" s="36">
        <f>O8</f>
        <v>1</v>
      </c>
      <c r="S8" s="37">
        <f t="shared" si="2"/>
        <v>5</v>
      </c>
      <c r="T8" s="38" t="str">
        <f t="shared" si="3"/>
        <v>STAY</v>
      </c>
    </row>
    <row r="9" spans="1:20" ht="19.5" customHeight="1" x14ac:dyDescent="0.2">
      <c r="A9" s="5">
        <v>3</v>
      </c>
      <c r="B9" s="5"/>
      <c r="C9" s="29" t="s">
        <v>40</v>
      </c>
      <c r="D9" s="30" t="s">
        <v>41</v>
      </c>
      <c r="E9" s="31">
        <v>1</v>
      </c>
      <c r="F9" s="31">
        <v>1</v>
      </c>
      <c r="G9" s="31">
        <v>1</v>
      </c>
      <c r="H9" s="31">
        <v>1</v>
      </c>
      <c r="I9" s="32">
        <v>1</v>
      </c>
      <c r="J9" s="32">
        <v>1</v>
      </c>
      <c r="K9" s="32">
        <v>1</v>
      </c>
      <c r="L9" s="32">
        <v>1</v>
      </c>
      <c r="M9" s="32">
        <v>1</v>
      </c>
      <c r="N9" s="32">
        <v>1</v>
      </c>
      <c r="O9" s="33">
        <v>2</v>
      </c>
      <c r="P9" s="34">
        <f t="shared" si="0"/>
        <v>4</v>
      </c>
      <c r="Q9" s="35">
        <f t="shared" si="1"/>
        <v>6</v>
      </c>
      <c r="R9" s="36">
        <f>O9</f>
        <v>2</v>
      </c>
      <c r="S9" s="37">
        <f t="shared" si="2"/>
        <v>12</v>
      </c>
      <c r="T9" s="38" t="str">
        <f t="shared" si="3"/>
        <v>PASS</v>
      </c>
    </row>
    <row r="10" spans="1:20" ht="19.5" customHeight="1" x14ac:dyDescent="0.2">
      <c r="A10" s="4">
        <v>4</v>
      </c>
      <c r="B10" s="4"/>
      <c r="C10" s="39" t="s">
        <v>42</v>
      </c>
      <c r="D10" s="40" t="s">
        <v>43</v>
      </c>
      <c r="E10" s="31">
        <v>0</v>
      </c>
      <c r="F10" s="31">
        <v>1</v>
      </c>
      <c r="G10" s="31">
        <v>0</v>
      </c>
      <c r="H10" s="31">
        <v>0</v>
      </c>
      <c r="I10" s="32">
        <v>1</v>
      </c>
      <c r="J10" s="32">
        <v>0</v>
      </c>
      <c r="K10" s="32">
        <v>1</v>
      </c>
      <c r="L10" s="32">
        <v>0</v>
      </c>
      <c r="M10" s="32">
        <v>0</v>
      </c>
      <c r="N10" s="32">
        <v>1</v>
      </c>
      <c r="O10" s="33">
        <v>1</v>
      </c>
      <c r="P10" s="34">
        <f t="shared" si="0"/>
        <v>1</v>
      </c>
      <c r="Q10" s="35">
        <f t="shared" si="1"/>
        <v>3</v>
      </c>
      <c r="R10" s="36">
        <f>O10</f>
        <v>1</v>
      </c>
      <c r="S10" s="37">
        <f t="shared" si="2"/>
        <v>5</v>
      </c>
      <c r="T10" s="38" t="str">
        <f t="shared" si="3"/>
        <v>STAY</v>
      </c>
    </row>
    <row r="11" spans="1:20" ht="19.5" customHeight="1" x14ac:dyDescent="0.2">
      <c r="A11" s="5">
        <v>5</v>
      </c>
      <c r="B11" s="5"/>
      <c r="C11" s="29" t="s">
        <v>44</v>
      </c>
      <c r="D11" s="30" t="s">
        <v>45</v>
      </c>
      <c r="E11" s="31">
        <v>1</v>
      </c>
      <c r="F11" s="31">
        <v>1</v>
      </c>
      <c r="G11" s="31">
        <v>1</v>
      </c>
      <c r="H11" s="31">
        <v>0</v>
      </c>
      <c r="I11" s="32">
        <v>1</v>
      </c>
      <c r="J11" s="32">
        <v>1</v>
      </c>
      <c r="K11" s="32">
        <v>0</v>
      </c>
      <c r="L11" s="32">
        <v>1</v>
      </c>
      <c r="M11" s="32">
        <v>1</v>
      </c>
      <c r="N11" s="32">
        <v>1</v>
      </c>
      <c r="O11" s="33">
        <v>2</v>
      </c>
      <c r="P11" s="34">
        <f t="shared" si="0"/>
        <v>3</v>
      </c>
      <c r="Q11" s="35">
        <f t="shared" si="1"/>
        <v>5</v>
      </c>
      <c r="R11" s="36">
        <f>O11</f>
        <v>2</v>
      </c>
      <c r="S11" s="37">
        <f t="shared" si="2"/>
        <v>10</v>
      </c>
      <c r="T11" s="38" t="str">
        <f t="shared" si="3"/>
        <v>PASS</v>
      </c>
    </row>
    <row r="12" spans="1:20" ht="19.5" customHeight="1" x14ac:dyDescent="0.2">
      <c r="A12" s="4">
        <v>6</v>
      </c>
      <c r="B12" s="4"/>
      <c r="C12" s="39"/>
      <c r="D12" s="40"/>
      <c r="E12" s="41"/>
      <c r="F12" s="41"/>
      <c r="G12" s="41"/>
      <c r="H12" s="41"/>
      <c r="I12" s="42"/>
      <c r="J12" s="42"/>
      <c r="K12" s="42"/>
      <c r="L12" s="42"/>
      <c r="M12" s="42"/>
      <c r="N12" s="42"/>
      <c r="O12" s="43"/>
      <c r="P12" s="34">
        <f t="shared" si="0"/>
        <v>0</v>
      </c>
      <c r="Q12" s="35">
        <f t="shared" si="1"/>
        <v>0</v>
      </c>
      <c r="R12" s="36"/>
      <c r="S12" s="37">
        <f t="shared" si="2"/>
        <v>0</v>
      </c>
      <c r="T12" s="38" t="str">
        <f t="shared" si="3"/>
        <v>STAY</v>
      </c>
    </row>
    <row r="13" spans="1:20" ht="19.5" customHeight="1" x14ac:dyDescent="0.2">
      <c r="A13" s="5">
        <v>7</v>
      </c>
      <c r="B13" s="5"/>
      <c r="C13" s="29"/>
      <c r="D13" s="30"/>
      <c r="E13" s="41"/>
      <c r="F13" s="41"/>
      <c r="G13" s="41"/>
      <c r="H13" s="41"/>
      <c r="I13" s="42"/>
      <c r="J13" s="42"/>
      <c r="K13" s="42"/>
      <c r="L13" s="42"/>
      <c r="M13" s="42"/>
      <c r="N13" s="42"/>
      <c r="O13" s="43"/>
      <c r="P13" s="34">
        <f t="shared" si="0"/>
        <v>0</v>
      </c>
      <c r="Q13" s="35">
        <f t="shared" si="1"/>
        <v>0</v>
      </c>
      <c r="R13" s="36"/>
      <c r="S13" s="37">
        <f t="shared" si="2"/>
        <v>0</v>
      </c>
      <c r="T13" s="38" t="str">
        <f t="shared" si="3"/>
        <v>STAY</v>
      </c>
    </row>
    <row r="14" spans="1:20" ht="19.5" customHeight="1" x14ac:dyDescent="0.2">
      <c r="A14" s="4">
        <v>8</v>
      </c>
      <c r="B14" s="4"/>
      <c r="C14" s="39"/>
      <c r="D14" s="40"/>
      <c r="E14" s="41"/>
      <c r="F14" s="41"/>
      <c r="G14" s="41"/>
      <c r="H14" s="41"/>
      <c r="I14" s="42"/>
      <c r="J14" s="42"/>
      <c r="K14" s="42"/>
      <c r="L14" s="42"/>
      <c r="M14" s="42"/>
      <c r="N14" s="42"/>
      <c r="O14" s="43"/>
      <c r="P14" s="34">
        <f t="shared" si="0"/>
        <v>0</v>
      </c>
      <c r="Q14" s="35">
        <f t="shared" si="1"/>
        <v>0</v>
      </c>
      <c r="R14" s="36"/>
      <c r="S14" s="37">
        <f t="shared" si="2"/>
        <v>0</v>
      </c>
      <c r="T14" s="38" t="str">
        <f t="shared" si="3"/>
        <v>STAY</v>
      </c>
    </row>
    <row r="15" spans="1:20" ht="19.5" customHeight="1" x14ac:dyDescent="0.2">
      <c r="A15" s="5">
        <v>9</v>
      </c>
      <c r="B15" s="5"/>
      <c r="C15" s="29"/>
      <c r="D15" s="30"/>
      <c r="E15" s="41"/>
      <c r="F15" s="41"/>
      <c r="G15" s="41"/>
      <c r="H15" s="41"/>
      <c r="I15" s="42"/>
      <c r="J15" s="42"/>
      <c r="K15" s="42"/>
      <c r="L15" s="42"/>
      <c r="M15" s="42"/>
      <c r="N15" s="42"/>
      <c r="O15" s="43"/>
      <c r="P15" s="34">
        <f t="shared" si="0"/>
        <v>0</v>
      </c>
      <c r="Q15" s="35">
        <f t="shared" si="1"/>
        <v>0</v>
      </c>
      <c r="R15" s="36"/>
      <c r="S15" s="37">
        <f t="shared" si="2"/>
        <v>0</v>
      </c>
      <c r="T15" s="38" t="str">
        <f t="shared" si="3"/>
        <v>STAY</v>
      </c>
    </row>
    <row r="16" spans="1:20" ht="19.5" customHeight="1" x14ac:dyDescent="0.2">
      <c r="A16" s="4">
        <v>10</v>
      </c>
      <c r="B16" s="4"/>
      <c r="C16" s="39"/>
      <c r="D16" s="40"/>
      <c r="E16" s="41"/>
      <c r="F16" s="41"/>
      <c r="G16" s="41"/>
      <c r="H16" s="41"/>
      <c r="I16" s="42"/>
      <c r="J16" s="42"/>
      <c r="K16" s="42"/>
      <c r="L16" s="42"/>
      <c r="M16" s="42"/>
      <c r="N16" s="42"/>
      <c r="O16" s="43"/>
      <c r="P16" s="34">
        <f t="shared" si="0"/>
        <v>0</v>
      </c>
      <c r="Q16" s="35">
        <f t="shared" si="1"/>
        <v>0</v>
      </c>
      <c r="R16" s="36"/>
      <c r="S16" s="37">
        <f t="shared" si="2"/>
        <v>0</v>
      </c>
      <c r="T16" s="38" t="str">
        <f t="shared" si="3"/>
        <v>STAY</v>
      </c>
    </row>
    <row r="17" spans="1:20" ht="19.5" customHeight="1" x14ac:dyDescent="0.2">
      <c r="A17" s="5">
        <v>11</v>
      </c>
      <c r="B17" s="5"/>
      <c r="C17" s="29"/>
      <c r="D17" s="30"/>
      <c r="E17" s="41"/>
      <c r="F17" s="41"/>
      <c r="G17" s="41"/>
      <c r="H17" s="41"/>
      <c r="I17" s="42"/>
      <c r="J17" s="42"/>
      <c r="K17" s="42"/>
      <c r="L17" s="42"/>
      <c r="M17" s="42"/>
      <c r="N17" s="42"/>
      <c r="O17" s="43"/>
      <c r="P17" s="34">
        <f t="shared" si="0"/>
        <v>0</v>
      </c>
      <c r="Q17" s="35">
        <f t="shared" si="1"/>
        <v>0</v>
      </c>
      <c r="R17" s="36"/>
      <c r="S17" s="37">
        <f t="shared" si="2"/>
        <v>0</v>
      </c>
      <c r="T17" s="38" t="str">
        <f t="shared" si="3"/>
        <v>STAY</v>
      </c>
    </row>
    <row r="18" spans="1:20" ht="19.5" customHeight="1" x14ac:dyDescent="0.2">
      <c r="A18" s="4">
        <v>12</v>
      </c>
      <c r="B18" s="4"/>
      <c r="C18" s="39"/>
      <c r="D18" s="40"/>
      <c r="E18" s="41"/>
      <c r="F18" s="41"/>
      <c r="G18" s="41"/>
      <c r="H18" s="41"/>
      <c r="I18" s="42"/>
      <c r="J18" s="42"/>
      <c r="K18" s="42"/>
      <c r="L18" s="42"/>
      <c r="M18" s="42"/>
      <c r="N18" s="42"/>
      <c r="O18" s="43"/>
      <c r="P18" s="34">
        <f t="shared" si="0"/>
        <v>0</v>
      </c>
      <c r="Q18" s="35">
        <f t="shared" si="1"/>
        <v>0</v>
      </c>
      <c r="R18" s="36"/>
      <c r="S18" s="37">
        <f t="shared" si="2"/>
        <v>0</v>
      </c>
      <c r="T18" s="38" t="str">
        <f t="shared" si="3"/>
        <v>STAY</v>
      </c>
    </row>
    <row r="19" spans="1:20" ht="19.5" customHeight="1" x14ac:dyDescent="0.2">
      <c r="A19" s="5">
        <v>13</v>
      </c>
      <c r="B19" s="5"/>
      <c r="C19" s="29"/>
      <c r="D19" s="30"/>
      <c r="E19" s="41"/>
      <c r="F19" s="41"/>
      <c r="G19" s="41"/>
      <c r="H19" s="41"/>
      <c r="I19" s="42"/>
      <c r="J19" s="42"/>
      <c r="K19" s="42"/>
      <c r="L19" s="42"/>
      <c r="M19" s="42"/>
      <c r="N19" s="42"/>
      <c r="O19" s="43"/>
      <c r="P19" s="34">
        <f t="shared" si="0"/>
        <v>0</v>
      </c>
      <c r="Q19" s="35">
        <f t="shared" si="1"/>
        <v>0</v>
      </c>
      <c r="R19" s="36"/>
      <c r="S19" s="37">
        <f t="shared" si="2"/>
        <v>0</v>
      </c>
      <c r="T19" s="38" t="str">
        <f t="shared" si="3"/>
        <v>STAY</v>
      </c>
    </row>
    <row r="20" spans="1:20" ht="19.5" customHeight="1" x14ac:dyDescent="0.2">
      <c r="A20" s="4">
        <v>14</v>
      </c>
      <c r="B20" s="4"/>
      <c r="C20" s="39"/>
      <c r="D20" s="40"/>
      <c r="E20" s="41"/>
      <c r="F20" s="41"/>
      <c r="G20" s="41"/>
      <c r="H20" s="41"/>
      <c r="I20" s="42"/>
      <c r="J20" s="42"/>
      <c r="K20" s="42"/>
      <c r="L20" s="42"/>
      <c r="M20" s="42"/>
      <c r="N20" s="42"/>
      <c r="O20" s="43"/>
      <c r="P20" s="34">
        <f t="shared" si="0"/>
        <v>0</v>
      </c>
      <c r="Q20" s="35">
        <f t="shared" si="1"/>
        <v>0</v>
      </c>
      <c r="R20" s="36"/>
      <c r="S20" s="37">
        <f t="shared" si="2"/>
        <v>0</v>
      </c>
      <c r="T20" s="38" t="str">
        <f t="shared" si="3"/>
        <v>STAY</v>
      </c>
    </row>
    <row r="21" spans="1:20" ht="19.5" customHeight="1" x14ac:dyDescent="0.2">
      <c r="A21" s="5">
        <v>15</v>
      </c>
      <c r="B21" s="5"/>
      <c r="C21" s="29"/>
      <c r="D21" s="30"/>
      <c r="E21" s="41"/>
      <c r="F21" s="41"/>
      <c r="G21" s="41"/>
      <c r="H21" s="41"/>
      <c r="I21" s="42"/>
      <c r="J21" s="42"/>
      <c r="K21" s="42"/>
      <c r="L21" s="42"/>
      <c r="M21" s="42"/>
      <c r="N21" s="42"/>
      <c r="O21" s="43"/>
      <c r="P21" s="34">
        <f t="shared" si="0"/>
        <v>0</v>
      </c>
      <c r="Q21" s="35">
        <f t="shared" si="1"/>
        <v>0</v>
      </c>
      <c r="R21" s="36"/>
      <c r="S21" s="37">
        <f t="shared" si="2"/>
        <v>0</v>
      </c>
      <c r="T21" s="38" t="str">
        <f t="shared" si="3"/>
        <v>STAY</v>
      </c>
    </row>
    <row r="22" spans="1:20" ht="19.5" customHeight="1" x14ac:dyDescent="0.2">
      <c r="A22" s="4">
        <v>16</v>
      </c>
      <c r="B22" s="4"/>
      <c r="C22" s="39"/>
      <c r="D22" s="40"/>
      <c r="E22" s="41"/>
      <c r="F22" s="41"/>
      <c r="G22" s="41"/>
      <c r="H22" s="41"/>
      <c r="I22" s="42"/>
      <c r="J22" s="42"/>
      <c r="K22" s="42"/>
      <c r="L22" s="42"/>
      <c r="M22" s="42"/>
      <c r="N22" s="42"/>
      <c r="O22" s="43"/>
      <c r="P22" s="34">
        <f t="shared" si="0"/>
        <v>0</v>
      </c>
      <c r="Q22" s="35">
        <f t="shared" si="1"/>
        <v>0</v>
      </c>
      <c r="R22" s="36"/>
      <c r="S22" s="37">
        <f t="shared" si="2"/>
        <v>0</v>
      </c>
      <c r="T22" s="38" t="str">
        <f t="shared" si="3"/>
        <v>STAY</v>
      </c>
    </row>
    <row r="23" spans="1:20" ht="19.5" customHeight="1" x14ac:dyDescent="0.2">
      <c r="A23" s="5">
        <v>17</v>
      </c>
      <c r="B23" s="5"/>
      <c r="C23" s="29"/>
      <c r="D23" s="30"/>
      <c r="E23" s="41"/>
      <c r="F23" s="41"/>
      <c r="G23" s="41"/>
      <c r="H23" s="41"/>
      <c r="I23" s="42"/>
      <c r="J23" s="42"/>
      <c r="K23" s="42"/>
      <c r="L23" s="42"/>
      <c r="M23" s="42"/>
      <c r="N23" s="42"/>
      <c r="O23" s="43"/>
      <c r="P23" s="34">
        <f t="shared" si="0"/>
        <v>0</v>
      </c>
      <c r="Q23" s="35">
        <f t="shared" si="1"/>
        <v>0</v>
      </c>
      <c r="R23" s="36"/>
      <c r="S23" s="37">
        <f t="shared" si="2"/>
        <v>0</v>
      </c>
      <c r="T23" s="38" t="str">
        <f t="shared" si="3"/>
        <v>STAY</v>
      </c>
    </row>
    <row r="24" spans="1:20" ht="19.5" customHeight="1" x14ac:dyDescent="0.2">
      <c r="A24" s="4">
        <v>18</v>
      </c>
      <c r="B24" s="4"/>
      <c r="C24" s="39"/>
      <c r="D24" s="40"/>
      <c r="E24" s="41"/>
      <c r="F24" s="41"/>
      <c r="G24" s="41"/>
      <c r="H24" s="41"/>
      <c r="I24" s="42"/>
      <c r="J24" s="42"/>
      <c r="K24" s="42"/>
      <c r="L24" s="42"/>
      <c r="M24" s="42"/>
      <c r="N24" s="42"/>
      <c r="O24" s="43"/>
      <c r="P24" s="34">
        <f t="shared" si="0"/>
        <v>0</v>
      </c>
      <c r="Q24" s="35">
        <f t="shared" si="1"/>
        <v>0</v>
      </c>
      <c r="R24" s="36"/>
      <c r="S24" s="37">
        <f t="shared" si="2"/>
        <v>0</v>
      </c>
      <c r="T24" s="38" t="str">
        <f t="shared" si="3"/>
        <v>STAY</v>
      </c>
    </row>
    <row r="25" spans="1:20" ht="19.5" customHeight="1" x14ac:dyDescent="0.2">
      <c r="A25" s="5">
        <v>19</v>
      </c>
      <c r="B25" s="5"/>
      <c r="C25" s="29"/>
      <c r="D25" s="30"/>
      <c r="E25" s="41"/>
      <c r="F25" s="41"/>
      <c r="G25" s="41"/>
      <c r="H25" s="41"/>
      <c r="I25" s="42"/>
      <c r="J25" s="42"/>
      <c r="K25" s="42"/>
      <c r="L25" s="42"/>
      <c r="M25" s="42"/>
      <c r="N25" s="42"/>
      <c r="O25" s="43"/>
      <c r="P25" s="34">
        <f t="shared" si="0"/>
        <v>0</v>
      </c>
      <c r="Q25" s="35">
        <f t="shared" si="1"/>
        <v>0</v>
      </c>
      <c r="R25" s="36"/>
      <c r="S25" s="37">
        <f t="shared" si="2"/>
        <v>0</v>
      </c>
      <c r="T25" s="38" t="str">
        <f t="shared" si="3"/>
        <v>STAY</v>
      </c>
    </row>
    <row r="26" spans="1:20" ht="19.5" customHeight="1" x14ac:dyDescent="0.2">
      <c r="A26" s="4">
        <v>20</v>
      </c>
      <c r="B26" s="4"/>
      <c r="C26" s="39"/>
      <c r="D26" s="40"/>
      <c r="E26" s="41"/>
      <c r="F26" s="41"/>
      <c r="G26" s="41"/>
      <c r="H26" s="41"/>
      <c r="I26" s="42"/>
      <c r="J26" s="42"/>
      <c r="K26" s="42"/>
      <c r="L26" s="42"/>
      <c r="M26" s="42"/>
      <c r="N26" s="42"/>
      <c r="O26" s="43"/>
      <c r="P26" s="34">
        <f t="shared" si="0"/>
        <v>0</v>
      </c>
      <c r="Q26" s="35">
        <f t="shared" si="1"/>
        <v>0</v>
      </c>
      <c r="R26" s="36"/>
      <c r="S26" s="37">
        <f t="shared" si="2"/>
        <v>0</v>
      </c>
      <c r="T26" s="38" t="str">
        <f t="shared" si="3"/>
        <v>STAY</v>
      </c>
    </row>
    <row r="27" spans="1:20" ht="19.5" customHeight="1" x14ac:dyDescent="0.2">
      <c r="A27" s="5">
        <v>21</v>
      </c>
      <c r="B27" s="5"/>
      <c r="C27" s="29"/>
      <c r="D27" s="30"/>
      <c r="E27" s="41"/>
      <c r="F27" s="41"/>
      <c r="G27" s="41"/>
      <c r="H27" s="41"/>
      <c r="I27" s="42"/>
      <c r="J27" s="42"/>
      <c r="K27" s="42"/>
      <c r="L27" s="42"/>
      <c r="M27" s="42"/>
      <c r="N27" s="42"/>
      <c r="O27" s="43"/>
      <c r="P27" s="34">
        <f t="shared" si="0"/>
        <v>0</v>
      </c>
      <c r="Q27" s="35">
        <f t="shared" si="1"/>
        <v>0</v>
      </c>
      <c r="R27" s="36"/>
      <c r="S27" s="37">
        <f t="shared" si="2"/>
        <v>0</v>
      </c>
      <c r="T27" s="38" t="str">
        <f t="shared" si="3"/>
        <v>STAY</v>
      </c>
    </row>
    <row r="28" spans="1:20" ht="19.5" customHeight="1" x14ac:dyDescent="0.2">
      <c r="A28" s="4">
        <v>22</v>
      </c>
      <c r="B28" s="4"/>
      <c r="C28" s="39"/>
      <c r="D28" s="40"/>
      <c r="E28" s="41"/>
      <c r="F28" s="41"/>
      <c r="G28" s="41"/>
      <c r="H28" s="41"/>
      <c r="I28" s="42"/>
      <c r="J28" s="42"/>
      <c r="K28" s="42"/>
      <c r="L28" s="42"/>
      <c r="M28" s="42"/>
      <c r="N28" s="42"/>
      <c r="O28" s="43"/>
      <c r="P28" s="34">
        <f t="shared" si="0"/>
        <v>0</v>
      </c>
      <c r="Q28" s="35">
        <f t="shared" si="1"/>
        <v>0</v>
      </c>
      <c r="R28" s="36"/>
      <c r="S28" s="37">
        <f t="shared" si="2"/>
        <v>0</v>
      </c>
      <c r="T28" s="38" t="str">
        <f t="shared" si="3"/>
        <v>STAY</v>
      </c>
    </row>
    <row r="29" spans="1:20" ht="19.5" customHeight="1" x14ac:dyDescent="0.2">
      <c r="A29" s="5">
        <v>23</v>
      </c>
      <c r="B29" s="5"/>
      <c r="C29" s="29"/>
      <c r="D29" s="30"/>
      <c r="E29" s="41"/>
      <c r="F29" s="41"/>
      <c r="G29" s="41"/>
      <c r="H29" s="41"/>
      <c r="I29" s="42"/>
      <c r="J29" s="42"/>
      <c r="K29" s="42"/>
      <c r="L29" s="42"/>
      <c r="M29" s="42"/>
      <c r="N29" s="42"/>
      <c r="O29" s="43"/>
      <c r="P29" s="34">
        <f t="shared" si="0"/>
        <v>0</v>
      </c>
      <c r="Q29" s="35">
        <f t="shared" si="1"/>
        <v>0</v>
      </c>
      <c r="R29" s="36"/>
      <c r="S29" s="37">
        <f t="shared" si="2"/>
        <v>0</v>
      </c>
      <c r="T29" s="38" t="str">
        <f t="shared" si="3"/>
        <v>STAY</v>
      </c>
    </row>
    <row r="30" spans="1:20" ht="19.5" customHeight="1" x14ac:dyDescent="0.2">
      <c r="A30" s="4">
        <v>24</v>
      </c>
      <c r="B30" s="4"/>
      <c r="C30" s="39"/>
      <c r="D30" s="40"/>
      <c r="E30" s="41"/>
      <c r="F30" s="41"/>
      <c r="G30" s="41"/>
      <c r="H30" s="41"/>
      <c r="I30" s="42"/>
      <c r="J30" s="42"/>
      <c r="K30" s="42"/>
      <c r="L30" s="42"/>
      <c r="M30" s="42"/>
      <c r="N30" s="42"/>
      <c r="O30" s="43"/>
      <c r="P30" s="34">
        <f t="shared" si="0"/>
        <v>0</v>
      </c>
      <c r="Q30" s="35">
        <f t="shared" si="1"/>
        <v>0</v>
      </c>
      <c r="R30" s="36"/>
      <c r="S30" s="37">
        <f t="shared" si="2"/>
        <v>0</v>
      </c>
      <c r="T30" s="38" t="str">
        <f t="shared" si="3"/>
        <v>STAY</v>
      </c>
    </row>
    <row r="31" spans="1:20" ht="19.5" customHeight="1" x14ac:dyDescent="0.2">
      <c r="A31" s="5">
        <v>25</v>
      </c>
      <c r="B31" s="5"/>
      <c r="C31" s="29"/>
      <c r="D31" s="30"/>
      <c r="E31" s="41"/>
      <c r="F31" s="41"/>
      <c r="G31" s="41"/>
      <c r="H31" s="41"/>
      <c r="I31" s="42"/>
      <c r="J31" s="42"/>
      <c r="K31" s="42"/>
      <c r="L31" s="42"/>
      <c r="M31" s="42"/>
      <c r="N31" s="42"/>
      <c r="O31" s="43"/>
      <c r="P31" s="34">
        <f t="shared" si="0"/>
        <v>0</v>
      </c>
      <c r="Q31" s="35">
        <f t="shared" si="1"/>
        <v>0</v>
      </c>
      <c r="R31" s="36"/>
      <c r="S31" s="37">
        <f t="shared" si="2"/>
        <v>0</v>
      </c>
      <c r="T31" s="38" t="str">
        <f t="shared" si="3"/>
        <v>STAY</v>
      </c>
    </row>
    <row r="32" spans="1:20" ht="19.5" customHeight="1" x14ac:dyDescent="0.2">
      <c r="A32" s="4">
        <v>26</v>
      </c>
      <c r="B32" s="4"/>
      <c r="C32" s="39"/>
      <c r="D32" s="40"/>
      <c r="E32" s="41"/>
      <c r="F32" s="41"/>
      <c r="G32" s="41"/>
      <c r="H32" s="41"/>
      <c r="I32" s="42"/>
      <c r="J32" s="42"/>
      <c r="K32" s="42"/>
      <c r="L32" s="42"/>
      <c r="M32" s="42"/>
      <c r="N32" s="42"/>
      <c r="O32" s="43"/>
      <c r="P32" s="34">
        <f t="shared" si="0"/>
        <v>0</v>
      </c>
      <c r="Q32" s="35">
        <f t="shared" si="1"/>
        <v>0</v>
      </c>
      <c r="R32" s="36"/>
      <c r="S32" s="37">
        <f t="shared" si="2"/>
        <v>0</v>
      </c>
      <c r="T32" s="38" t="str">
        <f t="shared" si="3"/>
        <v>STAY</v>
      </c>
    </row>
    <row r="33" spans="1:20" ht="19.5" customHeight="1" x14ac:dyDescent="0.2">
      <c r="A33" s="5">
        <v>27</v>
      </c>
      <c r="B33" s="5"/>
      <c r="C33" s="29"/>
      <c r="D33" s="30"/>
      <c r="E33" s="41"/>
      <c r="F33" s="41"/>
      <c r="G33" s="41"/>
      <c r="H33" s="41"/>
      <c r="I33" s="42"/>
      <c r="J33" s="42"/>
      <c r="K33" s="42"/>
      <c r="L33" s="42"/>
      <c r="M33" s="42"/>
      <c r="N33" s="42"/>
      <c r="O33" s="43"/>
      <c r="P33" s="34">
        <f t="shared" si="0"/>
        <v>0</v>
      </c>
      <c r="Q33" s="35">
        <f t="shared" si="1"/>
        <v>0</v>
      </c>
      <c r="R33" s="36"/>
      <c r="S33" s="37">
        <f t="shared" si="2"/>
        <v>0</v>
      </c>
      <c r="T33" s="38" t="str">
        <f t="shared" si="3"/>
        <v>STAY</v>
      </c>
    </row>
    <row r="34" spans="1:20" ht="19.5" customHeight="1" x14ac:dyDescent="0.2">
      <c r="A34" s="4">
        <v>28</v>
      </c>
      <c r="B34" s="4"/>
      <c r="C34" s="39"/>
      <c r="D34" s="40"/>
      <c r="E34" s="41"/>
      <c r="F34" s="41"/>
      <c r="G34" s="41"/>
      <c r="H34" s="41"/>
      <c r="I34" s="42"/>
      <c r="J34" s="42"/>
      <c r="K34" s="42"/>
      <c r="L34" s="42"/>
      <c r="M34" s="42"/>
      <c r="N34" s="42"/>
      <c r="O34" s="43"/>
      <c r="P34" s="34">
        <f t="shared" si="0"/>
        <v>0</v>
      </c>
      <c r="Q34" s="35">
        <f t="shared" si="1"/>
        <v>0</v>
      </c>
      <c r="R34" s="36"/>
      <c r="S34" s="37">
        <f t="shared" si="2"/>
        <v>0</v>
      </c>
      <c r="T34" s="38" t="str">
        <f t="shared" si="3"/>
        <v>STAY</v>
      </c>
    </row>
    <row r="35" spans="1:20" ht="19.5" customHeight="1" x14ac:dyDescent="0.2">
      <c r="A35" s="5">
        <v>29</v>
      </c>
      <c r="B35" s="5"/>
      <c r="C35" s="29"/>
      <c r="D35" s="30"/>
      <c r="E35" s="41"/>
      <c r="F35" s="41"/>
      <c r="G35" s="41"/>
      <c r="H35" s="41"/>
      <c r="I35" s="42"/>
      <c r="J35" s="42"/>
      <c r="K35" s="42"/>
      <c r="L35" s="42"/>
      <c r="M35" s="42"/>
      <c r="N35" s="42"/>
      <c r="O35" s="43"/>
      <c r="P35" s="34">
        <f t="shared" si="0"/>
        <v>0</v>
      </c>
      <c r="Q35" s="35">
        <f t="shared" si="1"/>
        <v>0</v>
      </c>
      <c r="R35" s="36"/>
      <c r="S35" s="37">
        <f t="shared" si="2"/>
        <v>0</v>
      </c>
      <c r="T35" s="38" t="str">
        <f t="shared" si="3"/>
        <v>STAY</v>
      </c>
    </row>
    <row r="36" spans="1:20" ht="19.5" customHeight="1" x14ac:dyDescent="0.2">
      <c r="A36" s="4">
        <v>30</v>
      </c>
      <c r="B36" s="4"/>
      <c r="C36" s="39"/>
      <c r="D36" s="40"/>
      <c r="E36" s="41"/>
      <c r="F36" s="41"/>
      <c r="G36" s="41"/>
      <c r="H36" s="41"/>
      <c r="I36" s="42"/>
      <c r="J36" s="42"/>
      <c r="K36" s="42"/>
      <c r="L36" s="42"/>
      <c r="M36" s="42"/>
      <c r="N36" s="42"/>
      <c r="O36" s="43"/>
      <c r="P36" s="34">
        <f t="shared" si="0"/>
        <v>0</v>
      </c>
      <c r="Q36" s="35">
        <f t="shared" si="1"/>
        <v>0</v>
      </c>
      <c r="R36" s="36"/>
      <c r="S36" s="37">
        <f t="shared" si="2"/>
        <v>0</v>
      </c>
      <c r="T36" s="38" t="str">
        <f t="shared" si="3"/>
        <v>STAY</v>
      </c>
    </row>
    <row r="37" spans="1:20" ht="21.75" customHeight="1" x14ac:dyDescent="0.2">
      <c r="A37" s="3" t="s">
        <v>46</v>
      </c>
      <c r="B37" s="3"/>
      <c r="C37" s="3"/>
      <c r="D37" s="3"/>
      <c r="P37" s="44">
        <f>ROUND(AVERAGE(P7:P36),1)</f>
        <v>0.4</v>
      </c>
      <c r="Q37" s="45">
        <f>ROUND(AVERAGE(Q7:Q36),1)</f>
        <v>0.7</v>
      </c>
      <c r="R37" s="46">
        <f>ROUND(AVERAGE(R7:R36),1)</f>
        <v>1.6</v>
      </c>
      <c r="S37" s="47">
        <f>ROUND(AVERAGE(S7:S36),1)</f>
        <v>1.4</v>
      </c>
      <c r="T37" s="48" t="str">
        <f>COUNTIF(T7:T36,"PASS")&amp;" PASS / "&amp;COUNTIF(T7:T36,"STAY")&amp;" STAY"</f>
        <v>3 PASS / 27 STAY</v>
      </c>
    </row>
  </sheetData>
  <mergeCells count="40">
    <mergeCell ref="A33:B33"/>
    <mergeCell ref="A34:B34"/>
    <mergeCell ref="A35:B35"/>
    <mergeCell ref="A36:B36"/>
    <mergeCell ref="A37:D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4:T4"/>
    <mergeCell ref="A5:B5"/>
    <mergeCell ref="E5:H5"/>
    <mergeCell ref="I5:N5"/>
    <mergeCell ref="A7:B7"/>
    <mergeCell ref="A1:T1"/>
    <mergeCell ref="A3:B3"/>
    <mergeCell ref="D3:E3"/>
    <mergeCell ref="G3:H3"/>
    <mergeCell ref="J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/>
  </sheetViews>
  <sheetFormatPr baseColWidth="10" defaultColWidth="8.6640625" defaultRowHeight="15" x14ac:dyDescent="0.2"/>
  <cols>
    <col min="1" max="1" width="80" customWidth="1"/>
  </cols>
  <sheetData>
    <row r="1" spans="1:6" ht="24" customHeight="1" x14ac:dyDescent="0.2">
      <c r="A1" s="2" t="s">
        <v>47</v>
      </c>
      <c r="B1" s="2"/>
      <c r="C1" s="2"/>
      <c r="D1" s="2"/>
      <c r="E1" s="2"/>
      <c r="F1" s="2"/>
    </row>
    <row r="2" spans="1:6" ht="19.5" customHeight="1" x14ac:dyDescent="0.2">
      <c r="A2" s="1"/>
      <c r="B2" s="1"/>
      <c r="C2" s="1"/>
      <c r="D2" s="1"/>
      <c r="E2" s="1"/>
      <c r="F2" s="1"/>
    </row>
    <row r="3" spans="1:6" ht="24" customHeight="1" x14ac:dyDescent="0.2">
      <c r="A3" s="49" t="s">
        <v>48</v>
      </c>
      <c r="B3" s="49"/>
      <c r="C3" s="49"/>
      <c r="D3" s="49"/>
      <c r="E3" s="49"/>
      <c r="F3" s="49"/>
    </row>
    <row r="4" spans="1:6" ht="19.5" customHeight="1" x14ac:dyDescent="0.2">
      <c r="A4" s="50" t="s">
        <v>49</v>
      </c>
      <c r="B4" s="50"/>
      <c r="C4" s="50"/>
      <c r="D4" s="50"/>
      <c r="E4" s="50"/>
      <c r="F4" s="50"/>
    </row>
    <row r="5" spans="1:6" ht="19.5" customHeight="1" x14ac:dyDescent="0.2">
      <c r="A5" s="51" t="s">
        <v>50</v>
      </c>
      <c r="B5" s="51"/>
      <c r="C5" s="51"/>
      <c r="D5" s="51"/>
      <c r="E5" s="51"/>
      <c r="F5" s="51"/>
    </row>
    <row r="6" spans="1:6" ht="19.5" customHeight="1" x14ac:dyDescent="0.2">
      <c r="A6" s="50" t="s">
        <v>51</v>
      </c>
      <c r="B6" s="50"/>
      <c r="C6" s="50"/>
      <c r="D6" s="50"/>
      <c r="E6" s="50"/>
      <c r="F6" s="50"/>
    </row>
    <row r="7" spans="1:6" ht="19.5" customHeight="1" x14ac:dyDescent="0.2">
      <c r="A7" s="51" t="s">
        <v>52</v>
      </c>
      <c r="B7" s="51"/>
      <c r="C7" s="51"/>
      <c r="D7" s="51"/>
      <c r="E7" s="51"/>
      <c r="F7" s="51"/>
    </row>
    <row r="8" spans="1:6" ht="19.5" customHeight="1" x14ac:dyDescent="0.2">
      <c r="A8" s="50" t="s">
        <v>53</v>
      </c>
      <c r="B8" s="50"/>
      <c r="C8" s="50"/>
      <c r="D8" s="50"/>
      <c r="E8" s="50"/>
      <c r="F8" s="50"/>
    </row>
    <row r="9" spans="1:6" ht="19.5" customHeight="1" x14ac:dyDescent="0.2">
      <c r="A9" s="51" t="s">
        <v>54</v>
      </c>
      <c r="B9" s="51"/>
      <c r="C9" s="51"/>
      <c r="D9" s="51"/>
      <c r="E9" s="51"/>
      <c r="F9" s="51"/>
    </row>
    <row r="10" spans="1:6" ht="19.5" customHeight="1" x14ac:dyDescent="0.2">
      <c r="A10" s="50" t="s">
        <v>55</v>
      </c>
      <c r="B10" s="50"/>
      <c r="C10" s="50"/>
      <c r="D10" s="50"/>
      <c r="E10" s="50"/>
      <c r="F10" s="50"/>
    </row>
    <row r="11" spans="1:6" ht="19.5" customHeight="1" x14ac:dyDescent="0.2">
      <c r="A11" s="1"/>
      <c r="B11" s="1"/>
      <c r="C11" s="1"/>
      <c r="D11" s="1"/>
      <c r="E11" s="1"/>
      <c r="F11" s="1"/>
    </row>
    <row r="12" spans="1:6" ht="24" customHeight="1" x14ac:dyDescent="0.2">
      <c r="A12" s="49" t="s">
        <v>56</v>
      </c>
      <c r="B12" s="49"/>
      <c r="C12" s="49"/>
      <c r="D12" s="49"/>
      <c r="E12" s="49"/>
      <c r="F12" s="49"/>
    </row>
    <row r="13" spans="1:6" ht="19.5" customHeight="1" x14ac:dyDescent="0.2">
      <c r="A13" s="52" t="s">
        <v>57</v>
      </c>
      <c r="B13" s="52"/>
      <c r="C13" s="52"/>
      <c r="D13" s="52"/>
      <c r="E13" s="52"/>
      <c r="F13" s="52"/>
    </row>
    <row r="14" spans="1:6" ht="19.5" customHeight="1" x14ac:dyDescent="0.2">
      <c r="A14" s="53" t="s">
        <v>58</v>
      </c>
      <c r="B14" s="53"/>
      <c r="C14" s="53"/>
      <c r="D14" s="53"/>
      <c r="E14" s="53"/>
      <c r="F14" s="53"/>
    </row>
    <row r="15" spans="1:6" ht="19.5" customHeight="1" x14ac:dyDescent="0.2">
      <c r="A15" s="1"/>
      <c r="B15" s="1"/>
      <c r="C15" s="1"/>
      <c r="D15" s="1"/>
      <c r="E15" s="1"/>
      <c r="F15" s="1"/>
    </row>
    <row r="16" spans="1:6" ht="24" customHeight="1" x14ac:dyDescent="0.2">
      <c r="A16" s="54" t="s">
        <v>59</v>
      </c>
      <c r="B16" s="54"/>
      <c r="C16" s="54"/>
      <c r="D16" s="54"/>
      <c r="E16" s="54"/>
      <c r="F16" s="54"/>
    </row>
    <row r="17" spans="1:6" ht="19.5" customHeight="1" x14ac:dyDescent="0.2">
      <c r="A17" s="55" t="s">
        <v>60</v>
      </c>
      <c r="B17" s="55"/>
      <c r="C17" s="55"/>
      <c r="D17" s="55"/>
      <c r="E17" s="55"/>
      <c r="F17" s="55"/>
    </row>
    <row r="18" spans="1:6" ht="19.5" customHeight="1" x14ac:dyDescent="0.2">
      <c r="A18" s="56" t="s">
        <v>61</v>
      </c>
      <c r="B18" s="56"/>
      <c r="C18" s="56"/>
      <c r="D18" s="56"/>
      <c r="E18" s="56"/>
      <c r="F18" s="56"/>
    </row>
    <row r="19" spans="1:6" ht="19.5" customHeight="1" x14ac:dyDescent="0.2">
      <c r="A19" s="55" t="s">
        <v>62</v>
      </c>
      <c r="B19" s="55"/>
      <c r="C19" s="55"/>
      <c r="D19" s="55"/>
      <c r="E19" s="55"/>
      <c r="F19" s="55"/>
    </row>
    <row r="20" spans="1:6" ht="19.5" customHeight="1" x14ac:dyDescent="0.2">
      <c r="A20" s="56" t="s">
        <v>63</v>
      </c>
      <c r="B20" s="56"/>
      <c r="C20" s="56"/>
      <c r="D20" s="56"/>
      <c r="E20" s="56"/>
      <c r="F20" s="56"/>
    </row>
  </sheetData>
  <mergeCells count="20">
    <mergeCell ref="A16:F16"/>
    <mergeCell ref="A17:F17"/>
    <mergeCell ref="A18:F18"/>
    <mergeCell ref="A19:F19"/>
    <mergeCell ref="A20:F20"/>
    <mergeCell ref="A11:F11"/>
    <mergeCell ref="A12:F12"/>
    <mergeCell ref="A13:F13"/>
    <mergeCell ref="A14:F14"/>
    <mergeCell ref="A15:F15"/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แบบบันทึกคะแนน</vt:lpstr>
      <vt:lpstr>คำแนะนำการใช้งาน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pumet9505@hotmail.com</cp:lastModifiedBy>
  <cp:revision>0</cp:revision>
  <dcterms:created xsi:type="dcterms:W3CDTF">2026-06-13T09:20:18Z</dcterms:created>
  <dcterms:modified xsi:type="dcterms:W3CDTF">2026-06-14T05:32:34Z</dcterms:modified>
  <dc:language>en-US</dc:language>
</cp:coreProperties>
</file>