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um_macmini/atlas-wise-spark/"/>
    </mc:Choice>
  </mc:AlternateContent>
  <xr:revisionPtr revIDLastSave="0" documentId="13_ncr:1_{B2B7913F-A746-DD4F-9FF0-7D700027E99F}" xr6:coauthVersionLast="47" xr6:coauthVersionMax="47" xr10:uidLastSave="{00000000-0000-0000-0000-000000000000}"/>
  <bookViews>
    <workbookView xWindow="0" yWindow="600" windowWidth="68800" windowHeight="28200" activeTab="4" xr2:uid="{00000000-000D-0000-FFFF-FFFF00000000}"/>
  </bookViews>
  <sheets>
    <sheet name="1_Overview" sheetId="1" r:id="rId1"/>
    <sheet name="2_Subject_Detail" sheetId="2" r:id="rId2"/>
    <sheet name="3_Trend" sheetId="3" r:id="rId3"/>
    <sheet name="4_Gap_Analysis" sheetId="4" r:id="rId4"/>
    <sheet name="5_Special_Care" sheetId="5" r:id="rId5"/>
    <sheet name="6_Recommendations" sheetId="6" r:id="rId6"/>
    <sheet name="7_Integrity_Audit" sheetId="7" r:id="rId7"/>
    <sheet name="8_Raw_Sample" sheetId="8" r:id="rId8"/>
    <sheet name="9_Method_Notes" sheetId="9" r:id="rId9"/>
  </sheets>
  <definedNames>
    <definedName name="_xlnm._FilterDatabase" localSheetId="0" hidden="1">'1_Overview'!$A$10:$L$10</definedName>
    <definedName name="_xlnm._FilterDatabase" localSheetId="1" hidden="1">'2_Subject_Detail'!$A$2:$F$2</definedName>
    <definedName name="_xlnm._FilterDatabase" localSheetId="2" hidden="1">'3_Trend'!$A$3:$H$3</definedName>
    <definedName name="_xlnm._FilterDatabase" localSheetId="4" hidden="1">'5_Special_Care'!$A$4:$F$4</definedName>
    <definedName name="_xlnm._FilterDatabase" localSheetId="5" hidden="1">'6_Recommendations'!$A$2:$F$2</definedName>
    <definedName name="_xlnm._FilterDatabase" localSheetId="6" hidden="1">'7_Integrity_Audit'!$A$2:$E$2</definedName>
    <definedName name="_xlnm._FilterDatabase" localSheetId="7" hidden="1">'8_Raw_Sample'!$A$3:$G$3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G25" i="4"/>
  <c r="F25" i="4"/>
  <c r="E25" i="4"/>
  <c r="D25" i="4"/>
  <c r="C25" i="4"/>
  <c r="B25" i="4"/>
  <c r="E21" i="2"/>
  <c r="L20" i="1"/>
  <c r="K20" i="1"/>
  <c r="J20" i="1"/>
  <c r="I20" i="1"/>
  <c r="H20" i="1"/>
  <c r="G20" i="1"/>
  <c r="D20" i="1"/>
  <c r="B20" i="1"/>
</calcChain>
</file>

<file path=xl/sharedStrings.xml><?xml version="1.0" encoding="utf-8"?>
<sst xmlns="http://schemas.openxmlformats.org/spreadsheetml/2006/main" count="483" uniqueCount="225">
  <si>
    <t>ATLAS EXECUTIVE REPORT — โรงเรียนวรนาถวิทยากำแพงเพชร</t>
  </si>
  <si>
    <t>ภาคเรียนที่ 2568-2  |  สร้างเมื่อ 2026-05-09</t>
  </si>
  <si>
    <t>บันทึกทั้งหมด</t>
  </si>
  <si>
    <t>SC (Compassion)</t>
  </si>
  <si>
    <t>Non-SC Analyzed</t>
  </si>
  <si>
    <t>Success Rate</t>
  </si>
  <si>
    <t>Red Zone</t>
  </si>
  <si>
    <t>63.3%</t>
  </si>
  <si>
    <t>logs (ทั้ง SC + non-SC)</t>
  </si>
  <si>
    <t>60.4% ของทั้งหมด</t>
  </si>
  <si>
    <t>ผ่าน Gap Analysis</t>
  </si>
  <si>
    <t>ใน non-SC logs</t>
  </si>
  <si>
    <t>mastery ≤ 2.5</t>
  </si>
  <si>
    <t>KPI รายห้องเรียน (ภาค 2568-2)</t>
  </si>
  <si>
    <t>ชั้น/ห้อง</t>
  </si>
  <si>
    <t>บันทึก</t>
  </si>
  <si>
    <t>avg Mastery</t>
  </si>
  <si>
    <t>SC (n)</t>
  </si>
  <si>
    <t>SC%</t>
  </si>
  <si>
    <t>SC Alert</t>
  </si>
  <si>
    <t>K-Gap</t>
  </si>
  <si>
    <t>P-Gap</t>
  </si>
  <si>
    <t>A-Gap</t>
  </si>
  <si>
    <t>Sys-Gap</t>
  </si>
  <si>
    <t>A2-Gap</t>
  </si>
  <si>
    <t>ป.1/1</t>
  </si>
  <si>
    <t>⚠️ HIGH ALERT</t>
  </si>
  <si>
    <t>ป.1/2</t>
  </si>
  <si>
    <t>ป.2/1</t>
  </si>
  <si>
    <t>ป.2/2</t>
  </si>
  <si>
    <t>ป.3/1</t>
  </si>
  <si>
    <t>ป.3/2</t>
  </si>
  <si>
    <t>ป.4/1</t>
  </si>
  <si>
    <t>ป.4/2</t>
  </si>
  <si>
    <t>ป.5/1</t>
  </si>
  <si>
    <t>รวม</t>
  </si>
  <si>
    <t>Gap Type</t>
  </si>
  <si>
    <t>Count</t>
  </si>
  <si>
    <t>success</t>
  </si>
  <si>
    <t>System</t>
  </si>
  <si>
    <t>รายละเอียดครู-วิชา-ห้อง (ภาค 2568-2)</t>
  </si>
  <si>
    <t>ครูผู้สอน</t>
  </si>
  <si>
    <t>ชั้น</t>
  </si>
  <si>
    <t>ห้อง</t>
  </si>
  <si>
    <t>วิชา</t>
  </si>
  <si>
    <t>บันทึก (logs)</t>
  </si>
  <si>
    <t>หมายเหตุ</t>
  </si>
  <si>
    <t>T017 ครูสิรนภา จองกลาง</t>
  </si>
  <si>
    <t>ป.1</t>
  </si>
  <si>
    <t>1</t>
  </si>
  <si>
    <t>การอ่านและการเขียนเพื่อการสื่อสาร</t>
  </si>
  <si>
    <t>การคิดคำนวณ</t>
  </si>
  <si>
    <t>T002 ครูภานีย์ จิตชัยภรณ์</t>
  </si>
  <si>
    <t>2</t>
  </si>
  <si>
    <t>T003 ครูรินทราย สาลีจันทร์</t>
  </si>
  <si>
    <t>ป.2</t>
  </si>
  <si>
    <t>T004 ครูวิลาวัลย์ แสงสว่าง</t>
  </si>
  <si>
    <t>T007 ครูพักตร์เพ็ญ อ้นแก้</t>
  </si>
  <si>
    <t>ป.3</t>
  </si>
  <si>
    <t>สังคมศึกษา</t>
  </si>
  <si>
    <t>T008 ครูปวีณา แสงสว่าง</t>
  </si>
  <si>
    <t>วิทยาศาสตร์</t>
  </si>
  <si>
    <t>ป.4</t>
  </si>
  <si>
    <t>T018 ครูน้ำฝน สุภรัตน์</t>
  </si>
  <si>
    <t>ภาษาอังกฤษ KBW</t>
  </si>
  <si>
    <t>T006 ครูวรกานต์ ศรีไชยวาล</t>
  </si>
  <si>
    <t>ภาษาไทย</t>
  </si>
  <si>
    <t>T016 ครูแพรวา ประพันธ์</t>
  </si>
  <si>
    <t>ภาษาอังกฤษ</t>
  </si>
  <si>
    <t>คณิตศาสตร์</t>
  </si>
  <si>
    <t>T009 ครูพัชราภา เคลือบด้วง</t>
  </si>
  <si>
    <t>ป.5</t>
  </si>
  <si>
    <t>fewteerajat*</t>
  </si>
  <si>
    <t>⚠️ ชื่อไม่เป็นมาตรฐาน (FLAG 1 candidate)</t>
  </si>
  <si>
    <t>Namtip.sukdee15*</t>
  </si>
  <si>
    <t>pumet3104@gmail.com*</t>
  </si>
  <si>
    <t>การอ่านและการเขียนฯ</t>
  </si>
  <si>
    <t>แนวโน้มรายภาค (Multi-Term View)</t>
  </si>
  <si>
    <t>หมายเหตุ: มีข้อมูลครบถ้วนเพียง 1 ภาค (2568-2) ข้อมูล 2569-1 ยังไม่ครบ</t>
  </si>
  <si>
    <t>ภาคเรียน</t>
  </si>
  <si>
    <t>บันทึกรวม</t>
  </si>
  <si>
    <t>Non-SC</t>
  </si>
  <si>
    <t>avg Mastery (all)</t>
  </si>
  <si>
    <t>Success%</t>
  </si>
  <si>
    <t>2568-2</t>
  </si>
  <si>
    <t>ข้อมูลครบถ้วน</t>
  </si>
  <si>
    <t>2569-1</t>
  </si>
  <si>
    <t>—</t>
  </si>
  <si>
    <t>ข้อมูลไม่ครบ (ยังดำเนินการ)</t>
  </si>
  <si>
    <t>Gap Analysis (ภายหลังแยก SC — Compassion Protocol)</t>
  </si>
  <si>
    <t>ฐาน: non-SC logs 139 รายการ  |  ภาค 2568-2</t>
  </si>
  <si>
    <t>Gap Distribution รวม (ทุกห้อง)</t>
  </si>
  <si>
    <t>ประเภท Gap</t>
  </si>
  <si>
    <t>จำนวน (logs)</t>
  </si>
  <si>
    <t>สัดส่วน (%)</t>
  </si>
  <si>
    <t>ความหมาย</t>
  </si>
  <si>
    <t>นักเรียนเข้าใจ/ผ่าน</t>
  </si>
  <si>
    <t>ขาดความรู้/เนื้อหา</t>
  </si>
  <si>
    <t>ขาดทักษะปฏิบัติ</t>
  </si>
  <si>
    <t>ปัญหาทัศนคติ/แรงจูงใจ</t>
  </si>
  <si>
    <t>อุปสรรคระบบ/บริบท</t>
  </si>
  <si>
    <t>ต้องส่งต่อผู้เชี่ยวชาญ</t>
  </si>
  <si>
    <t>Gap รายห้อง (non-SC)</t>
  </si>
  <si>
    <t>non-SC</t>
  </si>
  <si>
    <t>Special Care — Compassion Protocol Summary</t>
  </si>
  <si>
    <t>หมายเหตุ: ไม่แสดงชื่อนักเรียน SC ในรายงาน (ข้อมูลสุขภาพ/ความลับ)</t>
  </si>
  <si>
    <t>SC HIGH ALERT</t>
  </si>
  <si>
    <t>ควรทบทวน health_care_ids ให้ครบ</t>
  </si>
  <si>
    <t>บันทึกเดียว — SC 100% ข้อมูลไม่เพียงพอสรุป</t>
  </si>
  <si>
    <t>สรุป SC ระดับโรงเรียน</t>
  </si>
  <si>
    <t>SC logs รวม</t>
  </si>
  <si>
    <t>% SC ต่อบันทึกทั้งหมด</t>
  </si>
  <si>
    <t>60.4%</t>
  </si>
  <si>
    <t>ห้องที่ SC%  &gt; 70%</t>
  </si>
  <si>
    <t>ป.2/2 (72.4%), ป.3/1 (100%)</t>
  </si>
  <si>
    <t>แนะนำ</t>
  </si>
  <si>
    <t>ทบทวน health_care_ids ให้ครบทุกรายการ SC</t>
  </si>
  <si>
    <t>ข้อเสนอแนะ / Action Plan — ภาค 2568-2</t>
  </si>
  <si>
    <t>ลำดับ</t>
  </si>
  <si>
    <t>ประเด็น</t>
  </si>
  <si>
    <t>ห้องที่เกี่ยวข้อง</t>
  </si>
  <si>
    <t>ระดับความเร่งด่วน</t>
  </si>
  <si>
    <t>แนวทางดำเนินการ</t>
  </si>
  <si>
    <t>ผู้รับผิดชอบ</t>
  </si>
  <si>
    <t>Red Zone (mastery ≤ 2.5)</t>
  </si>
  <si>
    <t>ป.1/1, ป.1/2, ป.2/1</t>
  </si>
  <si>
    <t>🔴 ด่วนที่สุด</t>
  </si>
  <si>
    <t>จัดแผน Remedial เร่งด่วน ติดตามรายสัปดาห์ แจ้งผู้ปกครอง</t>
  </si>
  <si>
    <t>ครูประจำห้อง + ผู้บริหาร</t>
  </si>
  <si>
    <t>SC% สูง &gt; 60% ทุกห้อง</t>
  </si>
  <si>
    <t>ทุกห้อง</t>
  </si>
  <si>
    <t>🟠 สูง</t>
  </si>
  <si>
    <t>ตรวจสอบ health_care_ids ให้ครบถ้วน จัดทำทะเบียน SC รายห้อง</t>
  </si>
  <si>
    <t>ครูประจำห้อง + ฝ่ายวิชาการ</t>
  </si>
  <si>
    <t>FLAG 1: SC ไม่มี health_care_ids</t>
  </si>
  <si>
    <t>ทุกห้อง (17 records)</t>
  </si>
  <si>
    <t>เพิ่ม student_id ลงในช่อง health_care_ids ทุกรายการที่มี SC</t>
  </si>
  <si>
    <t>ครูผู้บันทึก</t>
  </si>
  <si>
    <t>FLAG 3: A-Gap นักเรียนไม่ใช่ SC</t>
  </si>
  <si>
    <t>ป.1/1, ป.2/1, ป.4/1 (12 records)</t>
  </si>
  <si>
    <t>🟡 ปานกลาง</t>
  </si>
  <si>
    <t>ทบทวนว่าควรส่งต่อ A2 (ผู้เชี่ยวชาญ) หรือวางแผน A-Gap Intervention</t>
  </si>
  <si>
    <t>ครูประจำห้อง + แนะแนว</t>
  </si>
  <si>
    <t>K-Gap สูงใน ป.1/1 (5 รายการ)</t>
  </si>
  <si>
    <t>ทบทวนวิธีสอนเนื้อหา ใช้สื่อภาพ/รูปธรรมเพิ่มเติม</t>
  </si>
  <si>
    <t>T017 ครูสิรนภา</t>
  </si>
  <si>
    <t>P-Gap สูงใน ป.1/2 (6 รายการ)</t>
  </si>
  <si>
    <t>เพิ่มกิจกรรม Practice / Workshop เน้นฝึกทักษะ</t>
  </si>
  <si>
    <t>T002 ครูภานีย์</t>
  </si>
  <si>
    <t>System-Gap ใน ป.5/1 (2 รายการ)</t>
  </si>
  <si>
    <t>🟢 ต่ำ</t>
  </si>
  <si>
    <t>ตรวจสอบอุปสรรคระบบ เช่น ตารางสอน/สื่อ/ห้องเรียน</t>
  </si>
  <si>
    <t>T009 ครูพัชราภา</t>
  </si>
  <si>
    <t>ชื่อครูไม่เป็นมาตรฐาน (3 รายการ)</t>
  </si>
  <si>
    <t>ป.1/2, ป.2/1</t>
  </si>
  <si>
    <t>อัปเดตชื่อในระบบให้ตรงกับรหัสครู (T-code)</t>
  </si>
  <si>
    <t>ผู้ดูแลระบบ ATLAS</t>
  </si>
  <si>
    <t>ป.3/1 บันทึกเพียง 1 รายการ</t>
  </si>
  <si>
    <t>กำชับให้บันทึก teaching log สม่ำเสมอทุกครั้งที่สอน</t>
  </si>
  <si>
    <t>นางสาวพักตร์เพ็ญ</t>
  </si>
  <si>
    <t>Integrity Audit — ผลการตรวจสอบคุณภาพข้อมูล (ภาค 2568-2)</t>
  </si>
  <si>
    <t>FLAG</t>
  </si>
  <si>
    <t>รายละเอียด</t>
  </si>
  <si>
    <t>สถานะ</t>
  </si>
  <si>
    <t>จำนวน records</t>
  </si>
  <si>
    <t>แนวทางแก้ไข</t>
  </si>
  <si>
    <t>FLAG 1</t>
  </si>
  <si>
    <t>SC ไม่มี health_care_ids</t>
  </si>
  <si>
    <t>⚠️ ตรวจสอบ</t>
  </si>
  <si>
    <t>ควรเพิ่ม ID นักเรียนใน health_care_ids</t>
  </si>
  <si>
    <t>FLAG 2</t>
  </si>
  <si>
    <t>Mastery สูงแต่มี Gap</t>
  </si>
  <si>
    <t>✅ ปกติ</t>
  </si>
  <si>
    <t>ไม่พบความขัดแย้ง</t>
  </si>
  <si>
    <t>FLAG 3</t>
  </si>
  <si>
    <t>A-Gap นักเรียนไม่ใช่ SC</t>
  </si>
  <si>
    <t>ตรวจสอบว่าควรส่งต่อ A2 หรือไม่</t>
  </si>
  <si>
    <t>FLAG 4</t>
  </si>
  <si>
    <t>ครูไม่ตรงกับห้อง</t>
  </si>
  <si>
    <t>FLAG 5</t>
  </si>
  <si>
    <t>ตรวจสอบแผน Remedial ทันที</t>
  </si>
  <si>
    <t>Red Zone Detail (FLAG 5) — mastery ≤ 2.5</t>
  </si>
  <si>
    <t>ครู</t>
  </si>
  <si>
    <t>mastery</t>
  </si>
  <si>
    <t>แนวทาง</t>
  </si>
  <si>
    <t>Remedial ด่วน</t>
  </si>
  <si>
    <t>ตัวอย่างข้อมูลดิบ (Sample 20 records) — จาก teacher_list + classroom_kpi</t>
  </si>
  <si>
    <t>ข้อมูลนี้เป็นตัวอย่างเพื่อการตรวจสอบเท่านั้น ไม่ใช่ข้อมูลดิบทั้งหมด</t>
  </si>
  <si>
    <t>log_count</t>
  </si>
  <si>
    <t>avg_mastery (ห้อง)</t>
  </si>
  <si>
    <t>SC% (ห้อง)</t>
  </si>
  <si>
    <t>51.1%</t>
  </si>
  <si>
    <t>64.1%</t>
  </si>
  <si>
    <t>59.3%</t>
  </si>
  <si>
    <t>72.4%</t>
  </si>
  <si>
    <t>100.0%</t>
  </si>
  <si>
    <t>63.2%</t>
  </si>
  <si>
    <t>61.1%</t>
  </si>
  <si>
    <t>52.4%</t>
  </si>
  <si>
    <t>47.1%</t>
  </si>
  <si>
    <t>Method Notes &amp; Limitations</t>
  </si>
  <si>
    <t>แหล่งข้อมูล</t>
  </si>
  <si>
    <t>Atlas MCP (Local) → Supabase project ebyelctqcdhjmqujeskx</t>
  </si>
  <si>
    <t>2568-2 (ข้อมูลครบ) | 2569-1 (ยังไม่ครบ)</t>
  </si>
  <si>
    <t>วันที่สร้างรายงาน</t>
  </si>
  <si>
    <t>2026-05-09</t>
  </si>
  <si>
    <t>351 logs (รวม SC และ non-SC)</t>
  </si>
  <si>
    <t>SC Threshold</t>
  </si>
  <si>
    <t>health_care_status = TRUE (Compassion Protocol)</t>
  </si>
  <si>
    <t>Red Zone Threshold</t>
  </si>
  <si>
    <t>avg_mastery ≤ 2.5 (แก้ไขจาก ≤ 2.0 เมื่อ 2026-05-09)</t>
  </si>
  <si>
    <t>Gap Analysis Base</t>
  </si>
  <si>
    <t>139 non-SC logs เท่านั้น (SC ถูกแยกออกก่อนคำนวณ)</t>
  </si>
  <si>
    <t>Limitation 1</t>
  </si>
  <si>
    <t>ชั้น ป.3/1 มีบันทึกเพียง 1 รายการ สรุปผลไม่ได้</t>
  </si>
  <si>
    <t>Limitation 2</t>
  </si>
  <si>
    <t>ครูบางรายใช้ชื่อ/email ไม่เป็นมาตรฐาน (FLAG 1)</t>
  </si>
  <si>
    <t>Limitation 3</t>
  </si>
  <si>
    <t>ไม่มีข้อมูล unit_assessments ในภาคนี้</t>
  </si>
  <si>
    <t>Limitation 4</t>
  </si>
  <si>
    <t>avg_mastery รายห้องรวม SC และ non-SC (ค่าอาจสูงกว่าความเป็นจริง)</t>
  </si>
  <si>
    <t>เครื่องมือ</t>
  </si>
  <si>
    <t>Python openpyxl | Atlas MCP Local | Claude Cowork</t>
  </si>
  <si>
    <t>ผู้สร้างรายงาน</t>
  </si>
  <si>
    <t>Claude (Anthropic) ผ่าน ATLAS Executive Report Skill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</si>
</sst>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"/>
  </numFmts>
  <fonts count="20" x14ac:knownFonts="1">
    <font>
      <sz val="11"/>
      <color theme="1"/>
      <name val="Tahoma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20"/>
      <color rgb="FF1F3864"/>
      <name val="Arial"/>
    </font>
    <font>
      <i/>
      <sz val="8"/>
      <color rgb="FF595959"/>
      <name val="Arial"/>
    </font>
    <font>
      <b/>
      <sz val="11"/>
      <color rgb="FFFFFFFF"/>
      <name val="Arial"/>
    </font>
    <font>
      <sz val="9"/>
      <name val="Arial"/>
    </font>
    <font>
      <b/>
      <sz val="9"/>
      <color rgb="FFC00000"/>
      <name val="Arial"/>
    </font>
    <font>
      <b/>
      <sz val="9"/>
      <name val="Arial"/>
    </font>
    <font>
      <b/>
      <sz val="9"/>
      <color rgb="FF1F3864"/>
      <name val="Arial"/>
    </font>
    <font>
      <b/>
      <sz val="13"/>
      <color rgb="FFFFFFFF"/>
      <name val="Arial"/>
    </font>
    <font>
      <sz val="9"/>
      <color rgb="FF000000"/>
      <name val="Arial"/>
    </font>
    <font>
      <sz val="9"/>
      <color rgb="FFC00000"/>
      <name val="Arial"/>
    </font>
    <font>
      <b/>
      <sz val="10"/>
      <color rgb="FF000000"/>
      <name val="Arial"/>
    </font>
    <font>
      <sz val="10"/>
      <name val="Arial"/>
    </font>
    <font>
      <b/>
      <sz val="10"/>
      <color rgb="FF375623"/>
      <name val="Arial"/>
    </font>
    <font>
      <b/>
      <sz val="12"/>
      <color rgb="FFFFFFFF"/>
      <name val="Arial"/>
    </font>
    <font>
      <b/>
      <sz val="9"/>
      <color rgb="FF595959"/>
      <name val="Arial"/>
    </font>
    <font>
      <b/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E0D0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AE3F3"/>
      </patternFill>
    </fill>
    <fill>
      <patternFill patternType="solid">
        <fgColor rgb="FFE2EFDA"/>
      </patternFill>
    </fill>
    <fill>
      <patternFill patternType="solid">
        <fgColor rgb="FFF2DCDB"/>
      </patternFill>
    </fill>
    <fill>
      <patternFill patternType="solid">
        <fgColor rgb="FF59595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87" fontId="7" fillId="8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9" fillId="4" borderId="1" xfId="0" applyFont="1" applyFill="1" applyBorder="1"/>
    <xf numFmtId="0" fontId="15" fillId="12" borderId="1" xfId="0" applyFont="1" applyFill="1" applyBorder="1" applyAlignment="1">
      <alignment horizontal="center" vertical="center"/>
    </xf>
    <xf numFmtId="187" fontId="15" fillId="12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187" fontId="15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187" fontId="15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center" vertical="center"/>
    </xf>
    <xf numFmtId="187" fontId="15" fillId="1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187" fontId="15" fillId="10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center" vertical="center"/>
    </xf>
    <xf numFmtId="187" fontId="15" fillId="15" borderId="1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center" vertical="center"/>
    </xf>
    <xf numFmtId="187" fontId="15" fillId="16" borderId="1" xfId="0" applyNumberFormat="1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187" fontId="12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left" vertical="center"/>
    </xf>
    <xf numFmtId="0" fontId="9" fillId="17" borderId="1" xfId="0" applyFont="1" applyFill="1" applyBorder="1"/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17" borderId="1" xfId="0" applyFont="1" applyFill="1" applyBorder="1"/>
    <xf numFmtId="0" fontId="0" fillId="17" borderId="1" xfId="0" applyFill="1" applyBorder="1"/>
    <xf numFmtId="0" fontId="11" fillId="5" borderId="0" xfId="0" applyFont="1" applyFill="1" applyAlignment="1">
      <alignment horizontal="center" vertical="center" wrapText="1"/>
    </xf>
    <xf numFmtId="0" fontId="16" fillId="1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17" fillId="18" borderId="0" xfId="0" applyFont="1" applyFill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"/>
              <a:t>avg Mastery </a:t>
            </a:r>
            <a:r>
              <a:rPr lang="th-TH"/>
              <a:t>รายห้อง (2568-2)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'1_Overview'!$B$23</c:f>
              <c:strCache>
                <c:ptCount val="1"/>
                <c:pt idx="0">
                  <c:v>avg Mastery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'1_Overview'!$A$24:$A$32</c:f>
              <c:strCache>
                <c:ptCount val="9"/>
                <c:pt idx="0">
                  <c:v>ป.1/1</c:v>
                </c:pt>
                <c:pt idx="1">
                  <c:v>ป.1/2</c:v>
                </c:pt>
                <c:pt idx="2">
                  <c:v>ป.2/1</c:v>
                </c:pt>
                <c:pt idx="3">
                  <c:v>ป.2/2</c:v>
                </c:pt>
                <c:pt idx="4">
                  <c:v>ป.3/1</c:v>
                </c:pt>
                <c:pt idx="5">
                  <c:v>ป.3/2</c:v>
                </c:pt>
                <c:pt idx="6">
                  <c:v>ป.4/1</c:v>
                </c:pt>
                <c:pt idx="7">
                  <c:v>ป.4/2</c:v>
                </c:pt>
                <c:pt idx="8">
                  <c:v>ป.5/1</c:v>
                </c:pt>
              </c:strCache>
            </c:strRef>
          </c:cat>
          <c:val>
            <c:numRef>
              <c:f>'1_Overview'!$B$24:$B$32</c:f>
              <c:numCache>
                <c:formatCode>General</c:formatCode>
                <c:ptCount val="9"/>
                <c:pt idx="0">
                  <c:v>3.51</c:v>
                </c:pt>
                <c:pt idx="1">
                  <c:v>3.58</c:v>
                </c:pt>
                <c:pt idx="2">
                  <c:v>3.74</c:v>
                </c:pt>
                <c:pt idx="3">
                  <c:v>4.17</c:v>
                </c:pt>
                <c:pt idx="4">
                  <c:v>4</c:v>
                </c:pt>
                <c:pt idx="5">
                  <c:v>3.82</c:v>
                </c:pt>
                <c:pt idx="6">
                  <c:v>4.5599999999999996</c:v>
                </c:pt>
                <c:pt idx="7">
                  <c:v>3.67</c:v>
                </c:pt>
                <c:pt idx="8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1-3841-A890-B847A3FB6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ห้อง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Mastery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"/>
              <a:t>Gap Distribution (non-SC, 2568-2)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'1_Overview'!$E$23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'1_Overview'!$D$24:$D$29</c:f>
              <c:strCache>
                <c:ptCount val="6"/>
                <c:pt idx="0">
                  <c:v>success</c:v>
                </c:pt>
                <c:pt idx="1">
                  <c:v>K-Gap</c:v>
                </c:pt>
                <c:pt idx="2">
                  <c:v>P-Gap</c:v>
                </c:pt>
                <c:pt idx="3">
                  <c:v>A-Gap</c:v>
                </c:pt>
                <c:pt idx="4">
                  <c:v>System</c:v>
                </c:pt>
                <c:pt idx="5">
                  <c:v>A2-Gap</c:v>
                </c:pt>
              </c:strCache>
            </c:strRef>
          </c:cat>
          <c:val>
            <c:numRef>
              <c:f>'1_Overview'!$E$24:$E$29</c:f>
              <c:numCache>
                <c:formatCode>General</c:formatCode>
                <c:ptCount val="6"/>
                <c:pt idx="0">
                  <c:v>88</c:v>
                </c:pt>
                <c:pt idx="1">
                  <c:v>19</c:v>
                </c:pt>
                <c:pt idx="2">
                  <c:v>18</c:v>
                </c:pt>
                <c:pt idx="3">
                  <c:v>12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6-DE4B-81FA-5C7C24A0D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32"/>
  <sheetViews>
    <sheetView zoomScale="170" zoomScaleNormal="170" workbookViewId="0">
      <pane ySplit="10" topLeftCell="A11" activePane="bottomLeft" state="frozen"/>
      <selection pane="bottomLeft" sqref="A1:L1"/>
    </sheetView>
  </sheetViews>
  <sheetFormatPr baseColWidth="10" defaultColWidth="8.83203125" defaultRowHeight="14" x14ac:dyDescent="0.15"/>
  <cols>
    <col min="1" max="1" width="10" customWidth="1"/>
    <col min="2" max="2" width="8" customWidth="1"/>
    <col min="3" max="3" width="10" customWidth="1"/>
    <col min="4" max="4" width="11" customWidth="1"/>
    <col min="5" max="5" width="24.83203125" customWidth="1"/>
    <col min="6" max="6" width="30.83203125" customWidth="1"/>
    <col min="7" max="7" width="8" customWidth="1"/>
    <col min="8" max="12" width="7" customWidth="1"/>
  </cols>
  <sheetData>
    <row r="1" spans="1:12" ht="36" customHeight="1" x14ac:dyDescent="0.15">
      <c r="A1" s="71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20" customHeight="1" x14ac:dyDescent="0.15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1:12" ht="18" customHeight="1" x14ac:dyDescent="0.15">
      <c r="B4" s="68" t="s">
        <v>2</v>
      </c>
      <c r="C4" s="65"/>
      <c r="D4" s="72" t="s">
        <v>3</v>
      </c>
      <c r="E4" s="65"/>
      <c r="F4" s="68" t="s">
        <v>4</v>
      </c>
      <c r="G4" s="65"/>
      <c r="H4" s="73" t="s">
        <v>5</v>
      </c>
      <c r="I4" s="65"/>
      <c r="J4" s="69" t="s">
        <v>6</v>
      </c>
      <c r="K4" s="65"/>
    </row>
    <row r="5" spans="1:12" ht="32" customHeight="1" x14ac:dyDescent="0.15">
      <c r="B5" s="70">
        <v>351</v>
      </c>
      <c r="C5" s="65"/>
      <c r="D5" s="70">
        <v>212</v>
      </c>
      <c r="E5" s="65"/>
      <c r="F5" s="70">
        <v>139</v>
      </c>
      <c r="G5" s="65"/>
      <c r="H5" s="70" t="s">
        <v>7</v>
      </c>
      <c r="I5" s="65"/>
      <c r="J5" s="70">
        <v>5</v>
      </c>
      <c r="K5" s="65"/>
    </row>
    <row r="6" spans="1:12" ht="16" customHeight="1" x14ac:dyDescent="0.15">
      <c r="B6" s="64" t="s">
        <v>8</v>
      </c>
      <c r="C6" s="65"/>
      <c r="D6" s="64" t="s">
        <v>9</v>
      </c>
      <c r="E6" s="65"/>
      <c r="F6" s="64" t="s">
        <v>10</v>
      </c>
      <c r="G6" s="65"/>
      <c r="H6" s="64" t="s">
        <v>11</v>
      </c>
      <c r="I6" s="65"/>
      <c r="J6" s="64" t="s">
        <v>12</v>
      </c>
      <c r="K6" s="65"/>
    </row>
    <row r="8" spans="1:12" ht="6" customHeight="1" x14ac:dyDescent="0.15"/>
    <row r="9" spans="1:12" x14ac:dyDescent="0.15">
      <c r="A9" s="74" t="s">
        <v>13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</row>
    <row r="10" spans="1:12" ht="28" customHeight="1" x14ac:dyDescent="0.1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6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</row>
    <row r="11" spans="1:12" x14ac:dyDescent="0.15">
      <c r="A11" s="2" t="s">
        <v>25</v>
      </c>
      <c r="B11" s="2">
        <v>45</v>
      </c>
      <c r="C11" s="3">
        <v>3.51</v>
      </c>
      <c r="D11" s="2">
        <v>23</v>
      </c>
      <c r="E11" s="4">
        <v>0.51100000000000001</v>
      </c>
      <c r="F11" s="2" t="s">
        <v>26</v>
      </c>
      <c r="G11" s="5">
        <v>2</v>
      </c>
      <c r="H11" s="2">
        <v>5</v>
      </c>
      <c r="I11" s="2">
        <v>3</v>
      </c>
      <c r="J11" s="2">
        <v>4</v>
      </c>
      <c r="K11" s="2">
        <v>0</v>
      </c>
      <c r="L11" s="2">
        <v>0</v>
      </c>
    </row>
    <row r="12" spans="1:12" x14ac:dyDescent="0.15">
      <c r="A12" s="2" t="s">
        <v>27</v>
      </c>
      <c r="B12" s="2">
        <v>78</v>
      </c>
      <c r="C12" s="3">
        <v>3.58</v>
      </c>
      <c r="D12" s="2">
        <v>50</v>
      </c>
      <c r="E12" s="4">
        <v>0.6409999999999999</v>
      </c>
      <c r="F12" s="2" t="s">
        <v>26</v>
      </c>
      <c r="G12" s="5">
        <v>2</v>
      </c>
      <c r="H12" s="2">
        <v>4</v>
      </c>
      <c r="I12" s="2">
        <v>6</v>
      </c>
      <c r="J12" s="2">
        <v>0</v>
      </c>
      <c r="K12" s="2">
        <v>0</v>
      </c>
      <c r="L12" s="2">
        <v>0</v>
      </c>
    </row>
    <row r="13" spans="1:12" x14ac:dyDescent="0.15">
      <c r="A13" s="2" t="s">
        <v>28</v>
      </c>
      <c r="B13" s="2">
        <v>27</v>
      </c>
      <c r="C13" s="3">
        <v>3.74</v>
      </c>
      <c r="D13" s="2">
        <v>16</v>
      </c>
      <c r="E13" s="4">
        <v>0.59299999999999997</v>
      </c>
      <c r="F13" s="2" t="s">
        <v>26</v>
      </c>
      <c r="G13" s="5">
        <v>1</v>
      </c>
      <c r="H13" s="2">
        <v>3</v>
      </c>
      <c r="I13" s="2">
        <v>3</v>
      </c>
      <c r="J13" s="2">
        <v>1</v>
      </c>
      <c r="K13" s="2">
        <v>0</v>
      </c>
      <c r="L13" s="2">
        <v>0</v>
      </c>
    </row>
    <row r="14" spans="1:12" x14ac:dyDescent="0.15">
      <c r="A14" s="2" t="s">
        <v>29</v>
      </c>
      <c r="B14" s="2">
        <v>29</v>
      </c>
      <c r="C14" s="3">
        <v>4.17</v>
      </c>
      <c r="D14" s="2">
        <v>21</v>
      </c>
      <c r="E14" s="4">
        <v>0.72400000000000009</v>
      </c>
      <c r="F14" s="2" t="s">
        <v>26</v>
      </c>
      <c r="G14" s="2">
        <v>0</v>
      </c>
      <c r="H14" s="2">
        <v>2</v>
      </c>
      <c r="I14" s="2">
        <v>0</v>
      </c>
      <c r="J14" s="2">
        <v>4</v>
      </c>
      <c r="K14" s="2">
        <v>0</v>
      </c>
      <c r="L14" s="2">
        <v>0</v>
      </c>
    </row>
    <row r="15" spans="1:12" x14ac:dyDescent="0.15">
      <c r="A15" s="2" t="s">
        <v>30</v>
      </c>
      <c r="B15" s="2">
        <v>1</v>
      </c>
      <c r="C15" s="3">
        <v>4</v>
      </c>
      <c r="D15" s="2">
        <v>1</v>
      </c>
      <c r="E15" s="4">
        <v>1</v>
      </c>
      <c r="F15" s="2" t="s">
        <v>26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x14ac:dyDescent="0.15">
      <c r="A16" s="2" t="s">
        <v>31</v>
      </c>
      <c r="B16" s="2">
        <v>38</v>
      </c>
      <c r="C16" s="3">
        <v>3.82</v>
      </c>
      <c r="D16" s="2">
        <v>24</v>
      </c>
      <c r="E16" s="4">
        <v>0.63200000000000001</v>
      </c>
      <c r="F16" s="2" t="s">
        <v>26</v>
      </c>
      <c r="G16" s="2">
        <v>0</v>
      </c>
      <c r="H16" s="2">
        <v>1</v>
      </c>
      <c r="I16" s="2">
        <v>2</v>
      </c>
      <c r="J16" s="2">
        <v>0</v>
      </c>
      <c r="K16" s="2">
        <v>0</v>
      </c>
      <c r="L16" s="2">
        <v>0</v>
      </c>
    </row>
    <row r="17" spans="1:12" x14ac:dyDescent="0.15">
      <c r="A17" s="2" t="s">
        <v>32</v>
      </c>
      <c r="B17" s="2">
        <v>95</v>
      </c>
      <c r="C17" s="6">
        <v>4.5599999999999996</v>
      </c>
      <c r="D17" s="2">
        <v>58</v>
      </c>
      <c r="E17" s="4">
        <v>0.61099999999999999</v>
      </c>
      <c r="F17" s="2" t="s">
        <v>26</v>
      </c>
      <c r="G17" s="2">
        <v>0</v>
      </c>
      <c r="H17" s="2">
        <v>1</v>
      </c>
      <c r="I17" s="2">
        <v>2</v>
      </c>
      <c r="J17" s="2">
        <v>1</v>
      </c>
      <c r="K17" s="2">
        <v>0</v>
      </c>
      <c r="L17" s="2">
        <v>0</v>
      </c>
    </row>
    <row r="18" spans="1:12" x14ac:dyDescent="0.15">
      <c r="A18" s="2" t="s">
        <v>33</v>
      </c>
      <c r="B18" s="2">
        <v>21</v>
      </c>
      <c r="C18" s="3">
        <v>3.67</v>
      </c>
      <c r="D18" s="2">
        <v>11</v>
      </c>
      <c r="E18" s="4">
        <v>0.52400000000000002</v>
      </c>
      <c r="F18" s="2" t="s">
        <v>26</v>
      </c>
      <c r="G18" s="2">
        <v>0</v>
      </c>
      <c r="H18" s="2">
        <v>2</v>
      </c>
      <c r="I18" s="2">
        <v>2</v>
      </c>
      <c r="J18" s="2">
        <v>0</v>
      </c>
      <c r="K18" s="2">
        <v>0</v>
      </c>
      <c r="L18" s="2">
        <v>0</v>
      </c>
    </row>
    <row r="19" spans="1:12" x14ac:dyDescent="0.15">
      <c r="A19" s="2" t="s">
        <v>34</v>
      </c>
      <c r="B19" s="2">
        <v>17</v>
      </c>
      <c r="C19" s="3">
        <v>4.0599999999999996</v>
      </c>
      <c r="D19" s="2">
        <v>8</v>
      </c>
      <c r="E19" s="4">
        <v>0.47099999999999997</v>
      </c>
      <c r="F19" s="2" t="s">
        <v>26</v>
      </c>
      <c r="G19" s="2">
        <v>0</v>
      </c>
      <c r="H19" s="2">
        <v>1</v>
      </c>
      <c r="I19" s="2">
        <v>0</v>
      </c>
      <c r="J19" s="2">
        <v>2</v>
      </c>
      <c r="K19" s="2">
        <v>2</v>
      </c>
      <c r="L19" s="2">
        <v>0</v>
      </c>
    </row>
    <row r="20" spans="1:12" x14ac:dyDescent="0.15">
      <c r="A20" s="7" t="s">
        <v>35</v>
      </c>
      <c r="B20" s="8">
        <f>SUM(B11:B19)</f>
        <v>351</v>
      </c>
      <c r="C20" s="8"/>
      <c r="D20" s="8">
        <f>SUM(D11:D19)</f>
        <v>212</v>
      </c>
      <c r="E20" s="8"/>
      <c r="F20" s="8"/>
      <c r="G20" s="8">
        <f t="shared" ref="G20:L20" si="0">SUM(G11:G19)</f>
        <v>5</v>
      </c>
      <c r="H20" s="8">
        <f t="shared" si="0"/>
        <v>19</v>
      </c>
      <c r="I20" s="8">
        <f t="shared" si="0"/>
        <v>18</v>
      </c>
      <c r="J20" s="8">
        <f t="shared" si="0"/>
        <v>12</v>
      </c>
      <c r="K20" s="8">
        <f t="shared" si="0"/>
        <v>2</v>
      </c>
      <c r="L20" s="8">
        <f t="shared" si="0"/>
        <v>0</v>
      </c>
    </row>
    <row r="23" spans="1:12" x14ac:dyDescent="0.15">
      <c r="A23" t="s">
        <v>14</v>
      </c>
      <c r="B23" t="s">
        <v>16</v>
      </c>
      <c r="D23" t="s">
        <v>36</v>
      </c>
      <c r="E23" t="s">
        <v>37</v>
      </c>
    </row>
    <row r="24" spans="1:12" x14ac:dyDescent="0.15">
      <c r="A24" t="s">
        <v>25</v>
      </c>
      <c r="B24">
        <v>3.51</v>
      </c>
      <c r="D24" t="s">
        <v>38</v>
      </c>
      <c r="E24">
        <v>88</v>
      </c>
    </row>
    <row r="25" spans="1:12" x14ac:dyDescent="0.15">
      <c r="A25" t="s">
        <v>27</v>
      </c>
      <c r="B25">
        <v>3.58</v>
      </c>
      <c r="D25" t="s">
        <v>20</v>
      </c>
      <c r="E25">
        <v>19</v>
      </c>
    </row>
    <row r="26" spans="1:12" x14ac:dyDescent="0.15">
      <c r="A26" t="s">
        <v>28</v>
      </c>
      <c r="B26">
        <v>3.74</v>
      </c>
      <c r="D26" t="s">
        <v>21</v>
      </c>
      <c r="E26">
        <v>18</v>
      </c>
    </row>
    <row r="27" spans="1:12" x14ac:dyDescent="0.15">
      <c r="A27" t="s">
        <v>29</v>
      </c>
      <c r="B27">
        <v>4.17</v>
      </c>
      <c r="D27" t="s">
        <v>22</v>
      </c>
      <c r="E27">
        <v>12</v>
      </c>
    </row>
    <row r="28" spans="1:12" x14ac:dyDescent="0.15">
      <c r="A28" t="s">
        <v>30</v>
      </c>
      <c r="B28">
        <v>4</v>
      </c>
      <c r="D28" t="s">
        <v>39</v>
      </c>
      <c r="E28">
        <v>2</v>
      </c>
    </row>
    <row r="29" spans="1:12" x14ac:dyDescent="0.15">
      <c r="A29" t="s">
        <v>31</v>
      </c>
      <c r="B29">
        <v>3.82</v>
      </c>
      <c r="D29" t="s">
        <v>24</v>
      </c>
      <c r="E29">
        <v>0</v>
      </c>
    </row>
    <row r="30" spans="1:12" x14ac:dyDescent="0.15">
      <c r="A30" t="s">
        <v>32</v>
      </c>
      <c r="B30">
        <v>4.5599999999999996</v>
      </c>
    </row>
    <row r="31" spans="1:12" x14ac:dyDescent="0.15">
      <c r="A31" t="s">
        <v>33</v>
      </c>
      <c r="B31">
        <v>3.67</v>
      </c>
    </row>
    <row r="32" spans="1:12" x14ac:dyDescent="0.15">
      <c r="A32" t="s">
        <v>34</v>
      </c>
      <c r="B32">
        <v>4.0599999999999996</v>
      </c>
    </row>
  </sheetData>
  <autoFilter ref="A10:L10" xr:uid="{00000000-0009-0000-0000-000000000000}"/>
  <mergeCells count="18">
    <mergeCell ref="A9:L9"/>
    <mergeCell ref="B4:C4"/>
    <mergeCell ref="A1:L1"/>
    <mergeCell ref="D5:E5"/>
    <mergeCell ref="F5:G5"/>
    <mergeCell ref="F6:G6"/>
    <mergeCell ref="D4:E4"/>
    <mergeCell ref="H5:I5"/>
    <mergeCell ref="H4:I4"/>
    <mergeCell ref="D6:E6"/>
    <mergeCell ref="B6:C6"/>
    <mergeCell ref="A2:L2"/>
    <mergeCell ref="F4:G4"/>
    <mergeCell ref="J4:K4"/>
    <mergeCell ref="H6:I6"/>
    <mergeCell ref="J5:K5"/>
    <mergeCell ref="J6:K6"/>
    <mergeCell ref="B5:C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G21"/>
  <sheetViews>
    <sheetView zoomScale="170" zoomScaleNormal="170" workbookViewId="0">
      <pane ySplit="2" topLeftCell="A3" activePane="bottomLeft" state="frozen"/>
      <selection pane="bottomLeft" sqref="A1:G1"/>
    </sheetView>
  </sheetViews>
  <sheetFormatPr baseColWidth="10" defaultColWidth="8.83203125" defaultRowHeight="14" x14ac:dyDescent="0.15"/>
  <cols>
    <col min="1" max="1" width="30" customWidth="1"/>
    <col min="2" max="2" width="8" customWidth="1"/>
    <col min="3" max="3" width="6" customWidth="1"/>
    <col min="4" max="4" width="34" customWidth="1"/>
    <col min="5" max="5" width="12" customWidth="1"/>
    <col min="6" max="6" width="35" customWidth="1"/>
  </cols>
  <sheetData>
    <row r="1" spans="1:7" x14ac:dyDescent="0.15">
      <c r="A1" s="75" t="s">
        <v>40</v>
      </c>
      <c r="B1" s="67"/>
      <c r="C1" s="67"/>
      <c r="D1" s="67"/>
      <c r="E1" s="67"/>
      <c r="F1" s="67"/>
      <c r="G1" s="67"/>
    </row>
    <row r="2" spans="1:7" ht="24" customHeight="1" x14ac:dyDescent="0.15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</row>
    <row r="3" spans="1:7" x14ac:dyDescent="0.15">
      <c r="A3" s="10" t="s">
        <v>47</v>
      </c>
      <c r="B3" s="11" t="s">
        <v>48</v>
      </c>
      <c r="C3" s="11" t="s">
        <v>49</v>
      </c>
      <c r="D3" s="10" t="s">
        <v>50</v>
      </c>
      <c r="E3" s="11">
        <v>23</v>
      </c>
      <c r="F3" s="10"/>
    </row>
    <row r="4" spans="1:7" x14ac:dyDescent="0.15">
      <c r="A4" s="12" t="s">
        <v>47</v>
      </c>
      <c r="B4" s="13" t="s">
        <v>48</v>
      </c>
      <c r="C4" s="13" t="s">
        <v>49</v>
      </c>
      <c r="D4" s="12" t="s">
        <v>51</v>
      </c>
      <c r="E4" s="13">
        <v>22</v>
      </c>
      <c r="F4" s="12"/>
    </row>
    <row r="5" spans="1:7" x14ac:dyDescent="0.15">
      <c r="A5" s="10" t="s">
        <v>52</v>
      </c>
      <c r="B5" s="11" t="s">
        <v>48</v>
      </c>
      <c r="C5" s="11" t="s">
        <v>53</v>
      </c>
      <c r="D5" s="10" t="s">
        <v>51</v>
      </c>
      <c r="E5" s="11">
        <v>75</v>
      </c>
      <c r="F5" s="10"/>
    </row>
    <row r="6" spans="1:7" x14ac:dyDescent="0.15">
      <c r="A6" s="12" t="s">
        <v>54</v>
      </c>
      <c r="B6" s="13" t="s">
        <v>55</v>
      </c>
      <c r="C6" s="13" t="s">
        <v>49</v>
      </c>
      <c r="D6" s="12" t="s">
        <v>50</v>
      </c>
      <c r="E6" s="13">
        <v>25</v>
      </c>
      <c r="F6" s="12"/>
    </row>
    <row r="7" spans="1:7" x14ac:dyDescent="0.15">
      <c r="A7" s="10" t="s">
        <v>56</v>
      </c>
      <c r="B7" s="11" t="s">
        <v>55</v>
      </c>
      <c r="C7" s="11" t="s">
        <v>53</v>
      </c>
      <c r="D7" s="10" t="s">
        <v>50</v>
      </c>
      <c r="E7" s="11">
        <v>28</v>
      </c>
      <c r="F7" s="10"/>
    </row>
    <row r="8" spans="1:7" x14ac:dyDescent="0.15">
      <c r="A8" s="12" t="s">
        <v>57</v>
      </c>
      <c r="B8" s="13" t="s">
        <v>58</v>
      </c>
      <c r="C8" s="13" t="s">
        <v>49</v>
      </c>
      <c r="D8" s="12" t="s">
        <v>59</v>
      </c>
      <c r="E8" s="13">
        <v>1</v>
      </c>
      <c r="F8" s="12"/>
    </row>
    <row r="9" spans="1:7" x14ac:dyDescent="0.15">
      <c r="A9" s="10" t="s">
        <v>60</v>
      </c>
      <c r="B9" s="11" t="s">
        <v>58</v>
      </c>
      <c r="C9" s="11" t="s">
        <v>53</v>
      </c>
      <c r="D9" s="10" t="s">
        <v>51</v>
      </c>
      <c r="E9" s="11">
        <v>29</v>
      </c>
      <c r="F9" s="10"/>
    </row>
    <row r="10" spans="1:7" x14ac:dyDescent="0.15">
      <c r="A10" s="12" t="s">
        <v>57</v>
      </c>
      <c r="B10" s="13" t="s">
        <v>58</v>
      </c>
      <c r="C10" s="13" t="s">
        <v>53</v>
      </c>
      <c r="D10" s="12" t="s">
        <v>61</v>
      </c>
      <c r="E10" s="13">
        <v>8</v>
      </c>
      <c r="F10" s="12"/>
    </row>
    <row r="11" spans="1:7" x14ac:dyDescent="0.15">
      <c r="A11" s="10" t="s">
        <v>57</v>
      </c>
      <c r="B11" s="11" t="s">
        <v>62</v>
      </c>
      <c r="C11" s="11" t="s">
        <v>49</v>
      </c>
      <c r="D11" s="10" t="s">
        <v>61</v>
      </c>
      <c r="E11" s="11">
        <v>17</v>
      </c>
      <c r="F11" s="10"/>
    </row>
    <row r="12" spans="1:7" x14ac:dyDescent="0.15">
      <c r="A12" s="12" t="s">
        <v>63</v>
      </c>
      <c r="B12" s="13" t="s">
        <v>62</v>
      </c>
      <c r="C12" s="13" t="s">
        <v>49</v>
      </c>
      <c r="D12" s="12" t="s">
        <v>64</v>
      </c>
      <c r="E12" s="13">
        <v>21</v>
      </c>
      <c r="F12" s="12"/>
    </row>
    <row r="13" spans="1:7" x14ac:dyDescent="0.15">
      <c r="A13" s="10" t="s">
        <v>65</v>
      </c>
      <c r="B13" s="11" t="s">
        <v>62</v>
      </c>
      <c r="C13" s="11" t="s">
        <v>49</v>
      </c>
      <c r="D13" s="10" t="s">
        <v>66</v>
      </c>
      <c r="E13" s="11">
        <v>21</v>
      </c>
      <c r="F13" s="10"/>
    </row>
    <row r="14" spans="1:7" x14ac:dyDescent="0.15">
      <c r="A14" s="12" t="s">
        <v>67</v>
      </c>
      <c r="B14" s="13" t="s">
        <v>62</v>
      </c>
      <c r="C14" s="13" t="s">
        <v>49</v>
      </c>
      <c r="D14" s="12" t="s">
        <v>68</v>
      </c>
      <c r="E14" s="13">
        <v>15</v>
      </c>
      <c r="F14" s="12"/>
    </row>
    <row r="15" spans="1:7" x14ac:dyDescent="0.15">
      <c r="A15" s="10" t="s">
        <v>60</v>
      </c>
      <c r="B15" s="11" t="s">
        <v>62</v>
      </c>
      <c r="C15" s="11" t="s">
        <v>49</v>
      </c>
      <c r="D15" s="10" t="s">
        <v>69</v>
      </c>
      <c r="E15" s="11">
        <v>21</v>
      </c>
      <c r="F15" s="10"/>
    </row>
    <row r="16" spans="1:7" x14ac:dyDescent="0.15">
      <c r="A16" s="12" t="s">
        <v>60</v>
      </c>
      <c r="B16" s="13" t="s">
        <v>62</v>
      </c>
      <c r="C16" s="13" t="s">
        <v>53</v>
      </c>
      <c r="D16" s="12" t="s">
        <v>69</v>
      </c>
      <c r="E16" s="13">
        <v>20</v>
      </c>
      <c r="F16" s="12"/>
    </row>
    <row r="17" spans="1:6" x14ac:dyDescent="0.15">
      <c r="A17" s="10" t="s">
        <v>70</v>
      </c>
      <c r="B17" s="11" t="s">
        <v>71</v>
      </c>
      <c r="C17" s="11" t="s">
        <v>49</v>
      </c>
      <c r="D17" s="10" t="s">
        <v>66</v>
      </c>
      <c r="E17" s="11">
        <v>16</v>
      </c>
      <c r="F17" s="10"/>
    </row>
    <row r="18" spans="1:6" x14ac:dyDescent="0.15">
      <c r="A18" s="14" t="s">
        <v>72</v>
      </c>
      <c r="B18" s="15" t="s">
        <v>48</v>
      </c>
      <c r="C18" s="15" t="s">
        <v>53</v>
      </c>
      <c r="D18" s="16" t="s">
        <v>51</v>
      </c>
      <c r="E18" s="15">
        <v>1</v>
      </c>
      <c r="F18" s="16" t="s">
        <v>73</v>
      </c>
    </row>
    <row r="19" spans="1:6" x14ac:dyDescent="0.15">
      <c r="A19" s="14" t="s">
        <v>74</v>
      </c>
      <c r="B19" s="15" t="s">
        <v>48</v>
      </c>
      <c r="C19" s="15" t="s">
        <v>53</v>
      </c>
      <c r="D19" s="16" t="s">
        <v>51</v>
      </c>
      <c r="E19" s="15">
        <v>1</v>
      </c>
      <c r="F19" s="16" t="s">
        <v>73</v>
      </c>
    </row>
    <row r="20" spans="1:6" x14ac:dyDescent="0.15">
      <c r="A20" s="14" t="s">
        <v>75</v>
      </c>
      <c r="B20" s="15" t="s">
        <v>55</v>
      </c>
      <c r="C20" s="15" t="s">
        <v>49</v>
      </c>
      <c r="D20" s="16" t="s">
        <v>76</v>
      </c>
      <c r="E20" s="15">
        <v>1</v>
      </c>
      <c r="F20" s="16" t="s">
        <v>73</v>
      </c>
    </row>
    <row r="21" spans="1:6" x14ac:dyDescent="0.15">
      <c r="A21" s="17" t="s">
        <v>35</v>
      </c>
      <c r="B21" s="17"/>
      <c r="C21" s="17"/>
      <c r="D21" s="17"/>
      <c r="E21" s="17">
        <f>SUM(E3:E20)</f>
        <v>345</v>
      </c>
      <c r="F21" s="17"/>
    </row>
  </sheetData>
  <autoFilter ref="A2:F2" xr:uid="{00000000-0009-0000-0000-000001000000}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H5"/>
  <sheetViews>
    <sheetView zoomScale="180" zoomScaleNormal="180" workbookViewId="0">
      <pane ySplit="3" topLeftCell="A4" activePane="bottomLeft" state="frozen"/>
      <selection pane="bottomLeft" sqref="A1:H1"/>
    </sheetView>
  </sheetViews>
  <sheetFormatPr baseColWidth="10" defaultColWidth="8.83203125" defaultRowHeight="14" x14ac:dyDescent="0.15"/>
  <cols>
    <col min="1" max="1" width="12" customWidth="1"/>
    <col min="2" max="2" width="10" customWidth="1"/>
    <col min="3" max="4" width="8" customWidth="1"/>
    <col min="5" max="5" width="14" customWidth="1"/>
    <col min="6" max="6" width="12" customWidth="1"/>
    <col min="7" max="7" width="10" customWidth="1"/>
    <col min="8" max="8" width="28" customWidth="1"/>
  </cols>
  <sheetData>
    <row r="1" spans="1:8" x14ac:dyDescent="0.15">
      <c r="A1" s="75" t="s">
        <v>77</v>
      </c>
      <c r="B1" s="67"/>
      <c r="C1" s="67"/>
      <c r="D1" s="67"/>
      <c r="E1" s="67"/>
      <c r="F1" s="67"/>
      <c r="G1" s="67"/>
      <c r="H1" s="67"/>
    </row>
    <row r="2" spans="1:8" x14ac:dyDescent="0.15">
      <c r="A2" s="76" t="s">
        <v>78</v>
      </c>
      <c r="B2" s="67"/>
      <c r="C2" s="67"/>
      <c r="D2" s="67"/>
      <c r="E2" s="67"/>
      <c r="F2" s="67"/>
      <c r="G2" s="67"/>
      <c r="H2" s="67"/>
    </row>
    <row r="3" spans="1:8" ht="28" customHeight="1" x14ac:dyDescent="0.15">
      <c r="A3" s="9" t="s">
        <v>79</v>
      </c>
      <c r="B3" s="9" t="s">
        <v>80</v>
      </c>
      <c r="C3" s="9" t="s">
        <v>17</v>
      </c>
      <c r="D3" s="9" t="s">
        <v>81</v>
      </c>
      <c r="E3" s="9" t="s">
        <v>82</v>
      </c>
      <c r="F3" s="9" t="s">
        <v>83</v>
      </c>
      <c r="G3" s="9" t="s">
        <v>6</v>
      </c>
      <c r="H3" s="9" t="s">
        <v>46</v>
      </c>
    </row>
    <row r="4" spans="1:8" x14ac:dyDescent="0.15">
      <c r="A4" s="18" t="s">
        <v>84</v>
      </c>
      <c r="B4" s="18">
        <v>351</v>
      </c>
      <c r="C4" s="18">
        <v>212</v>
      </c>
      <c r="D4" s="18">
        <v>139</v>
      </c>
      <c r="E4" s="18">
        <v>3.9</v>
      </c>
      <c r="F4" s="19">
        <v>0.63300000000000001</v>
      </c>
      <c r="G4" s="18">
        <v>5</v>
      </c>
      <c r="H4" s="18" t="s">
        <v>85</v>
      </c>
    </row>
    <row r="5" spans="1:8" x14ac:dyDescent="0.15">
      <c r="A5" s="20" t="s">
        <v>86</v>
      </c>
      <c r="B5" s="20">
        <v>34</v>
      </c>
      <c r="C5" s="20" t="s">
        <v>87</v>
      </c>
      <c r="D5" s="20" t="s">
        <v>87</v>
      </c>
      <c r="E5" s="20" t="s">
        <v>87</v>
      </c>
      <c r="F5" s="20" t="s">
        <v>87</v>
      </c>
      <c r="G5" s="20" t="s">
        <v>87</v>
      </c>
      <c r="H5" s="20" t="s">
        <v>88</v>
      </c>
    </row>
  </sheetData>
  <autoFilter ref="A3:H3" xr:uid="{00000000-0009-0000-0000-000002000000}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H25"/>
  <sheetViews>
    <sheetView zoomScale="210" zoomScaleNormal="210" workbookViewId="0">
      <pane ySplit="5" topLeftCell="A6" activePane="bottomLeft" state="frozen"/>
      <selection pane="bottomLeft" sqref="A1:H1"/>
    </sheetView>
  </sheetViews>
  <sheetFormatPr baseColWidth="10" defaultColWidth="8.83203125" defaultRowHeight="14" x14ac:dyDescent="0.15"/>
  <cols>
    <col min="1" max="1" width="12" customWidth="1"/>
    <col min="2" max="2" width="8" customWidth="1"/>
    <col min="3" max="3" width="9" customWidth="1"/>
    <col min="4" max="6" width="7" customWidth="1"/>
    <col min="7" max="7" width="8" customWidth="1"/>
    <col min="8" max="8" width="7" customWidth="1"/>
    <col min="9" max="9" width="18" customWidth="1"/>
    <col min="10" max="10" width="26" customWidth="1"/>
  </cols>
  <sheetData>
    <row r="1" spans="1:8" x14ac:dyDescent="0.15">
      <c r="A1" s="75" t="s">
        <v>89</v>
      </c>
      <c r="B1" s="67"/>
      <c r="C1" s="67"/>
      <c r="D1" s="67"/>
      <c r="E1" s="67"/>
      <c r="F1" s="67"/>
      <c r="G1" s="67"/>
      <c r="H1" s="67"/>
    </row>
    <row r="2" spans="1:8" x14ac:dyDescent="0.15">
      <c r="A2" s="66" t="s">
        <v>90</v>
      </c>
      <c r="B2" s="67"/>
      <c r="C2" s="67"/>
      <c r="D2" s="67"/>
      <c r="E2" s="67"/>
      <c r="F2" s="67"/>
      <c r="G2" s="67"/>
      <c r="H2" s="67"/>
    </row>
    <row r="4" spans="1:8" x14ac:dyDescent="0.15">
      <c r="A4" s="77" t="s">
        <v>91</v>
      </c>
      <c r="B4" s="67"/>
      <c r="C4" s="67"/>
      <c r="D4" s="67"/>
    </row>
    <row r="5" spans="1:8" ht="22" customHeight="1" x14ac:dyDescent="0.15">
      <c r="A5" s="21" t="s">
        <v>92</v>
      </c>
      <c r="B5" s="21" t="s">
        <v>93</v>
      </c>
      <c r="C5" s="21" t="s">
        <v>94</v>
      </c>
      <c r="D5" s="21" t="s">
        <v>95</v>
      </c>
    </row>
    <row r="6" spans="1:8" x14ac:dyDescent="0.15">
      <c r="A6" s="22" t="s">
        <v>38</v>
      </c>
      <c r="B6" s="22">
        <v>88</v>
      </c>
      <c r="C6" s="23">
        <v>0.63300000000000001</v>
      </c>
      <c r="D6" s="24" t="s">
        <v>96</v>
      </c>
    </row>
    <row r="7" spans="1:8" x14ac:dyDescent="0.15">
      <c r="A7" s="25" t="s">
        <v>20</v>
      </c>
      <c r="B7" s="25">
        <v>19</v>
      </c>
      <c r="C7" s="26">
        <v>0.13700000000000001</v>
      </c>
      <c r="D7" s="27" t="s">
        <v>97</v>
      </c>
    </row>
    <row r="8" spans="1:8" x14ac:dyDescent="0.15">
      <c r="A8" s="28" t="s">
        <v>21</v>
      </c>
      <c r="B8" s="28">
        <v>18</v>
      </c>
      <c r="C8" s="29">
        <v>0.129</v>
      </c>
      <c r="D8" s="30" t="s">
        <v>98</v>
      </c>
    </row>
    <row r="9" spans="1:8" x14ac:dyDescent="0.15">
      <c r="A9" s="31" t="s">
        <v>22</v>
      </c>
      <c r="B9" s="31">
        <v>12</v>
      </c>
      <c r="C9" s="32">
        <v>8.5999999999999993E-2</v>
      </c>
      <c r="D9" s="33" t="s">
        <v>99</v>
      </c>
    </row>
    <row r="10" spans="1:8" x14ac:dyDescent="0.15">
      <c r="A10" s="34" t="s">
        <v>39</v>
      </c>
      <c r="B10" s="34">
        <v>2</v>
      </c>
      <c r="C10" s="35">
        <v>1.4E-2</v>
      </c>
      <c r="D10" s="36" t="s">
        <v>100</v>
      </c>
    </row>
    <row r="11" spans="1:8" x14ac:dyDescent="0.15">
      <c r="A11" s="37" t="s">
        <v>24</v>
      </c>
      <c r="B11" s="37">
        <v>0</v>
      </c>
      <c r="C11" s="38">
        <v>0</v>
      </c>
      <c r="D11" s="39" t="s">
        <v>101</v>
      </c>
    </row>
    <row r="14" spans="1:8" x14ac:dyDescent="0.15">
      <c r="A14" s="74" t="s">
        <v>102</v>
      </c>
      <c r="B14" s="67"/>
      <c r="C14" s="67"/>
      <c r="D14" s="67"/>
      <c r="E14" s="67"/>
      <c r="F14" s="67"/>
      <c r="G14" s="67"/>
      <c r="H14" s="67"/>
    </row>
    <row r="15" spans="1:8" ht="22" customHeight="1" x14ac:dyDescent="0.15">
      <c r="A15" s="21" t="s">
        <v>14</v>
      </c>
      <c r="B15" s="21" t="s">
        <v>103</v>
      </c>
      <c r="C15" s="21" t="s">
        <v>38</v>
      </c>
      <c r="D15" s="21" t="s">
        <v>20</v>
      </c>
      <c r="E15" s="21" t="s">
        <v>21</v>
      </c>
      <c r="F15" s="21" t="s">
        <v>22</v>
      </c>
      <c r="G15" s="21" t="s">
        <v>23</v>
      </c>
      <c r="H15" s="21" t="s">
        <v>24</v>
      </c>
    </row>
    <row r="16" spans="1:8" x14ac:dyDescent="0.15">
      <c r="A16" s="40" t="s">
        <v>25</v>
      </c>
      <c r="B16" s="40">
        <v>22</v>
      </c>
      <c r="C16" s="40">
        <v>10</v>
      </c>
      <c r="D16" s="40">
        <v>5</v>
      </c>
      <c r="E16" s="40">
        <v>3</v>
      </c>
      <c r="F16" s="40">
        <v>4</v>
      </c>
      <c r="G16" s="40">
        <v>0</v>
      </c>
      <c r="H16" s="40">
        <v>0</v>
      </c>
    </row>
    <row r="17" spans="1:8" x14ac:dyDescent="0.15">
      <c r="A17" s="41" t="s">
        <v>27</v>
      </c>
      <c r="B17" s="41">
        <v>28</v>
      </c>
      <c r="C17" s="41">
        <v>18</v>
      </c>
      <c r="D17" s="41">
        <v>4</v>
      </c>
      <c r="E17" s="41">
        <v>6</v>
      </c>
      <c r="F17" s="41">
        <v>0</v>
      </c>
      <c r="G17" s="41">
        <v>0</v>
      </c>
      <c r="H17" s="41">
        <v>0</v>
      </c>
    </row>
    <row r="18" spans="1:8" x14ac:dyDescent="0.15">
      <c r="A18" s="40" t="s">
        <v>28</v>
      </c>
      <c r="B18" s="40">
        <v>11</v>
      </c>
      <c r="C18" s="40">
        <v>4</v>
      </c>
      <c r="D18" s="40">
        <v>3</v>
      </c>
      <c r="E18" s="40">
        <v>3</v>
      </c>
      <c r="F18" s="40">
        <v>1</v>
      </c>
      <c r="G18" s="40">
        <v>0</v>
      </c>
      <c r="H18" s="40">
        <v>0</v>
      </c>
    </row>
    <row r="19" spans="1:8" x14ac:dyDescent="0.15">
      <c r="A19" s="41" t="s">
        <v>29</v>
      </c>
      <c r="B19" s="41">
        <v>8</v>
      </c>
      <c r="C19" s="41">
        <v>2</v>
      </c>
      <c r="D19" s="41">
        <v>2</v>
      </c>
      <c r="E19" s="41">
        <v>0</v>
      </c>
      <c r="F19" s="41">
        <v>4</v>
      </c>
      <c r="G19" s="41">
        <v>0</v>
      </c>
      <c r="H19" s="41">
        <v>0</v>
      </c>
    </row>
    <row r="20" spans="1:8" x14ac:dyDescent="0.15">
      <c r="A20" s="40" t="s">
        <v>30</v>
      </c>
      <c r="B20" s="40">
        <v>0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</row>
    <row r="21" spans="1:8" x14ac:dyDescent="0.15">
      <c r="A21" s="41" t="s">
        <v>31</v>
      </c>
      <c r="B21" s="41">
        <v>14</v>
      </c>
      <c r="C21" s="41">
        <v>11</v>
      </c>
      <c r="D21" s="41">
        <v>1</v>
      </c>
      <c r="E21" s="41">
        <v>2</v>
      </c>
      <c r="F21" s="41">
        <v>0</v>
      </c>
      <c r="G21" s="41">
        <v>0</v>
      </c>
      <c r="H21" s="41">
        <v>0</v>
      </c>
    </row>
    <row r="22" spans="1:8" x14ac:dyDescent="0.15">
      <c r="A22" s="40" t="s">
        <v>32</v>
      </c>
      <c r="B22" s="40">
        <v>37</v>
      </c>
      <c r="C22" s="40">
        <v>33</v>
      </c>
      <c r="D22" s="40">
        <v>1</v>
      </c>
      <c r="E22" s="40">
        <v>2</v>
      </c>
      <c r="F22" s="40">
        <v>1</v>
      </c>
      <c r="G22" s="40">
        <v>0</v>
      </c>
      <c r="H22" s="40">
        <v>0</v>
      </c>
    </row>
    <row r="23" spans="1:8" x14ac:dyDescent="0.15">
      <c r="A23" s="41" t="s">
        <v>33</v>
      </c>
      <c r="B23" s="41">
        <v>10</v>
      </c>
      <c r="C23" s="41">
        <v>6</v>
      </c>
      <c r="D23" s="41">
        <v>2</v>
      </c>
      <c r="E23" s="41">
        <v>2</v>
      </c>
      <c r="F23" s="41">
        <v>0</v>
      </c>
      <c r="G23" s="41">
        <v>0</v>
      </c>
      <c r="H23" s="41">
        <v>0</v>
      </c>
    </row>
    <row r="24" spans="1:8" x14ac:dyDescent="0.15">
      <c r="A24" s="40" t="s">
        <v>34</v>
      </c>
      <c r="B24" s="40">
        <v>9</v>
      </c>
      <c r="C24" s="40">
        <v>4</v>
      </c>
      <c r="D24" s="40">
        <v>1</v>
      </c>
      <c r="E24" s="40">
        <v>0</v>
      </c>
      <c r="F24" s="40">
        <v>2</v>
      </c>
      <c r="G24" s="40">
        <v>2</v>
      </c>
      <c r="H24" s="40">
        <v>0</v>
      </c>
    </row>
    <row r="25" spans="1:8" x14ac:dyDescent="0.15">
      <c r="A25" s="42" t="s">
        <v>35</v>
      </c>
      <c r="B25" s="42">
        <f t="shared" ref="B25:H25" si="0">SUM(B16:B24)</f>
        <v>139</v>
      </c>
      <c r="C25" s="42">
        <f t="shared" si="0"/>
        <v>88</v>
      </c>
      <c r="D25" s="42">
        <f t="shared" si="0"/>
        <v>19</v>
      </c>
      <c r="E25" s="42">
        <f t="shared" si="0"/>
        <v>18</v>
      </c>
      <c r="F25" s="42">
        <f t="shared" si="0"/>
        <v>12</v>
      </c>
      <c r="G25" s="42">
        <f t="shared" si="0"/>
        <v>2</v>
      </c>
      <c r="H25" s="42">
        <f t="shared" si="0"/>
        <v>0</v>
      </c>
    </row>
  </sheetData>
  <mergeCells count="4">
    <mergeCell ref="A4:D4"/>
    <mergeCell ref="A2:H2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20"/>
  <sheetViews>
    <sheetView tabSelected="1" zoomScale="180" zoomScaleNormal="180" workbookViewId="0">
      <pane ySplit="4" topLeftCell="A5" activePane="bottomLeft" state="frozen"/>
      <selection pane="bottomLeft" sqref="A1:G1"/>
    </sheetView>
  </sheetViews>
  <sheetFormatPr baseColWidth="10" defaultColWidth="8.83203125" defaultRowHeight="14" x14ac:dyDescent="0.15"/>
  <cols>
    <col min="1" max="1" width="12" customWidth="1"/>
    <col min="2" max="2" width="10" customWidth="1"/>
    <col min="3" max="4" width="8" customWidth="1"/>
    <col min="5" max="5" width="14" customWidth="1"/>
    <col min="6" max="6" width="40" customWidth="1"/>
  </cols>
  <sheetData>
    <row r="1" spans="1:7" x14ac:dyDescent="0.15">
      <c r="A1" s="80" t="s">
        <v>104</v>
      </c>
      <c r="B1" s="67"/>
      <c r="C1" s="67"/>
      <c r="D1" s="67"/>
      <c r="E1" s="67"/>
      <c r="F1" s="67"/>
      <c r="G1" s="67"/>
    </row>
    <row r="2" spans="1:7" x14ac:dyDescent="0.15">
      <c r="A2" s="81" t="s">
        <v>105</v>
      </c>
      <c r="B2" s="67"/>
      <c r="C2" s="67"/>
      <c r="D2" s="67"/>
      <c r="E2" s="67"/>
      <c r="F2" s="67"/>
      <c r="G2" s="67"/>
    </row>
    <row r="4" spans="1:7" ht="28" customHeight="1" x14ac:dyDescent="0.15">
      <c r="A4" s="43" t="s">
        <v>14</v>
      </c>
      <c r="B4" s="43" t="s">
        <v>80</v>
      </c>
      <c r="C4" s="43" t="s">
        <v>17</v>
      </c>
      <c r="D4" s="43" t="s">
        <v>18</v>
      </c>
      <c r="E4" s="43" t="s">
        <v>106</v>
      </c>
      <c r="F4" s="43" t="s">
        <v>46</v>
      </c>
    </row>
    <row r="5" spans="1:7" x14ac:dyDescent="0.15">
      <c r="A5" s="44" t="s">
        <v>25</v>
      </c>
      <c r="B5" s="44">
        <v>45</v>
      </c>
      <c r="C5" s="44">
        <v>23</v>
      </c>
      <c r="D5" s="45">
        <v>0.51100000000000001</v>
      </c>
      <c r="E5" s="46" t="s">
        <v>26</v>
      </c>
      <c r="F5" s="47" t="s">
        <v>107</v>
      </c>
    </row>
    <row r="6" spans="1:7" x14ac:dyDescent="0.15">
      <c r="A6" s="44" t="s">
        <v>27</v>
      </c>
      <c r="B6" s="44">
        <v>78</v>
      </c>
      <c r="C6" s="44">
        <v>50</v>
      </c>
      <c r="D6" s="45">
        <v>0.6409999999999999</v>
      </c>
      <c r="E6" s="46" t="s">
        <v>26</v>
      </c>
      <c r="F6" s="47" t="s">
        <v>107</v>
      </c>
    </row>
    <row r="7" spans="1:7" x14ac:dyDescent="0.15">
      <c r="A7" s="44" t="s">
        <v>28</v>
      </c>
      <c r="B7" s="44">
        <v>27</v>
      </c>
      <c r="C7" s="44">
        <v>16</v>
      </c>
      <c r="D7" s="45">
        <v>0.59299999999999997</v>
      </c>
      <c r="E7" s="46" t="s">
        <v>26</v>
      </c>
      <c r="F7" s="47" t="s">
        <v>107</v>
      </c>
    </row>
    <row r="8" spans="1:7" x14ac:dyDescent="0.15">
      <c r="A8" s="44" t="s">
        <v>29</v>
      </c>
      <c r="B8" s="44">
        <v>29</v>
      </c>
      <c r="C8" s="44">
        <v>21</v>
      </c>
      <c r="D8" s="45">
        <v>0.72400000000000009</v>
      </c>
      <c r="E8" s="46" t="s">
        <v>26</v>
      </c>
      <c r="F8" s="47" t="s">
        <v>107</v>
      </c>
    </row>
    <row r="9" spans="1:7" x14ac:dyDescent="0.15">
      <c r="A9" s="44" t="s">
        <v>30</v>
      </c>
      <c r="B9" s="44">
        <v>1</v>
      </c>
      <c r="C9" s="44">
        <v>1</v>
      </c>
      <c r="D9" s="45">
        <v>1</v>
      </c>
      <c r="E9" s="46" t="s">
        <v>26</v>
      </c>
      <c r="F9" s="47" t="s">
        <v>108</v>
      </c>
    </row>
    <row r="10" spans="1:7" x14ac:dyDescent="0.15">
      <c r="A10" s="44" t="s">
        <v>31</v>
      </c>
      <c r="B10" s="44">
        <v>38</v>
      </c>
      <c r="C10" s="44">
        <v>24</v>
      </c>
      <c r="D10" s="45">
        <v>0.63200000000000001</v>
      </c>
      <c r="E10" s="46" t="s">
        <v>26</v>
      </c>
      <c r="F10" s="47" t="s">
        <v>107</v>
      </c>
    </row>
    <row r="11" spans="1:7" x14ac:dyDescent="0.15">
      <c r="A11" s="44" t="s">
        <v>32</v>
      </c>
      <c r="B11" s="44">
        <v>95</v>
      </c>
      <c r="C11" s="44">
        <v>58</v>
      </c>
      <c r="D11" s="45">
        <v>0.61099999999999999</v>
      </c>
      <c r="E11" s="46" t="s">
        <v>26</v>
      </c>
      <c r="F11" s="47" t="s">
        <v>107</v>
      </c>
    </row>
    <row r="12" spans="1:7" x14ac:dyDescent="0.15">
      <c r="A12" s="44" t="s">
        <v>33</v>
      </c>
      <c r="B12" s="44">
        <v>21</v>
      </c>
      <c r="C12" s="44">
        <v>11</v>
      </c>
      <c r="D12" s="45">
        <v>0.52400000000000002</v>
      </c>
      <c r="E12" s="46" t="s">
        <v>26</v>
      </c>
      <c r="F12" s="47" t="s">
        <v>107</v>
      </c>
    </row>
    <row r="13" spans="1:7" x14ac:dyDescent="0.15">
      <c r="A13" s="44" t="s">
        <v>34</v>
      </c>
      <c r="B13" s="44">
        <v>17</v>
      </c>
      <c r="C13" s="44">
        <v>8</v>
      </c>
      <c r="D13" s="45">
        <v>0.47099999999999997</v>
      </c>
      <c r="E13" s="46" t="s">
        <v>26</v>
      </c>
      <c r="F13" s="47" t="s">
        <v>107</v>
      </c>
    </row>
    <row r="16" spans="1:7" x14ac:dyDescent="0.15">
      <c r="A16" s="82" t="s">
        <v>109</v>
      </c>
      <c r="B16" s="67"/>
      <c r="C16" s="67"/>
      <c r="D16" s="67"/>
    </row>
    <row r="17" spans="1:4" x14ac:dyDescent="0.15">
      <c r="A17" s="48" t="s">
        <v>110</v>
      </c>
      <c r="B17" s="78">
        <v>212</v>
      </c>
      <c r="C17" s="79"/>
      <c r="D17" s="79"/>
    </row>
    <row r="18" spans="1:4" x14ac:dyDescent="0.15">
      <c r="A18" s="48" t="s">
        <v>111</v>
      </c>
      <c r="B18" s="78" t="s">
        <v>112</v>
      </c>
      <c r="C18" s="79"/>
      <c r="D18" s="79"/>
    </row>
    <row r="19" spans="1:4" x14ac:dyDescent="0.15">
      <c r="A19" s="48" t="s">
        <v>113</v>
      </c>
      <c r="B19" s="78" t="s">
        <v>114</v>
      </c>
      <c r="C19" s="79"/>
      <c r="D19" s="79"/>
    </row>
    <row r="20" spans="1:4" x14ac:dyDescent="0.15">
      <c r="A20" s="48" t="s">
        <v>115</v>
      </c>
      <c r="B20" s="78" t="s">
        <v>116</v>
      </c>
      <c r="C20" s="79"/>
      <c r="D20" s="79"/>
    </row>
  </sheetData>
  <autoFilter ref="A4:F4" xr:uid="{00000000-0009-0000-0000-000004000000}"/>
  <mergeCells count="7">
    <mergeCell ref="B20:D20"/>
    <mergeCell ref="B19:D19"/>
    <mergeCell ref="A1:G1"/>
    <mergeCell ref="B17:D17"/>
    <mergeCell ref="B18:D18"/>
    <mergeCell ref="A2:G2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F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 x14ac:dyDescent="0.15"/>
  <cols>
    <col min="1" max="1" width="5" customWidth="1"/>
    <col min="2" max="2" width="28" customWidth="1"/>
    <col min="3" max="3" width="20" customWidth="1"/>
    <col min="4" max="4" width="14" customWidth="1"/>
    <col min="5" max="5" width="50" customWidth="1"/>
    <col min="6" max="6" width="22" customWidth="1"/>
  </cols>
  <sheetData>
    <row r="1" spans="1:6" x14ac:dyDescent="0.15">
      <c r="A1" s="83" t="s">
        <v>117</v>
      </c>
      <c r="B1" s="67"/>
      <c r="C1" s="67"/>
      <c r="D1" s="67"/>
      <c r="E1" s="67"/>
      <c r="F1" s="67"/>
    </row>
    <row r="2" spans="1:6" ht="28" customHeight="1" x14ac:dyDescent="0.15">
      <c r="A2" s="9" t="s">
        <v>118</v>
      </c>
      <c r="B2" s="9" t="s">
        <v>119</v>
      </c>
      <c r="C2" s="9" t="s">
        <v>120</v>
      </c>
      <c r="D2" s="9" t="s">
        <v>121</v>
      </c>
      <c r="E2" s="9" t="s">
        <v>122</v>
      </c>
      <c r="F2" s="9" t="s">
        <v>123</v>
      </c>
    </row>
    <row r="3" spans="1:6" ht="32" customHeight="1" x14ac:dyDescent="0.15">
      <c r="A3" s="49">
        <v>1</v>
      </c>
      <c r="B3" s="50" t="s">
        <v>124</v>
      </c>
      <c r="C3" s="49" t="s">
        <v>125</v>
      </c>
      <c r="D3" s="49" t="s">
        <v>126</v>
      </c>
      <c r="E3" s="50" t="s">
        <v>127</v>
      </c>
      <c r="F3" s="49" t="s">
        <v>128</v>
      </c>
    </row>
    <row r="4" spans="1:6" ht="32" customHeight="1" x14ac:dyDescent="0.15">
      <c r="A4" s="51">
        <v>2</v>
      </c>
      <c r="B4" s="52" t="s">
        <v>129</v>
      </c>
      <c r="C4" s="51" t="s">
        <v>130</v>
      </c>
      <c r="D4" s="51" t="s">
        <v>131</v>
      </c>
      <c r="E4" s="52" t="s">
        <v>132</v>
      </c>
      <c r="F4" s="51" t="s">
        <v>133</v>
      </c>
    </row>
    <row r="5" spans="1:6" ht="32" customHeight="1" x14ac:dyDescent="0.15">
      <c r="A5" s="51">
        <v>3</v>
      </c>
      <c r="B5" s="52" t="s">
        <v>134</v>
      </c>
      <c r="C5" s="51" t="s">
        <v>135</v>
      </c>
      <c r="D5" s="51" t="s">
        <v>131</v>
      </c>
      <c r="E5" s="52" t="s">
        <v>136</v>
      </c>
      <c r="F5" s="51" t="s">
        <v>137</v>
      </c>
    </row>
    <row r="6" spans="1:6" ht="32" customHeight="1" x14ac:dyDescent="0.15">
      <c r="A6" s="53">
        <v>4</v>
      </c>
      <c r="B6" s="54" t="s">
        <v>138</v>
      </c>
      <c r="C6" s="53" t="s">
        <v>139</v>
      </c>
      <c r="D6" s="53" t="s">
        <v>140</v>
      </c>
      <c r="E6" s="54" t="s">
        <v>141</v>
      </c>
      <c r="F6" s="53" t="s">
        <v>142</v>
      </c>
    </row>
    <row r="7" spans="1:6" ht="32" customHeight="1" x14ac:dyDescent="0.15">
      <c r="A7" s="53">
        <v>5</v>
      </c>
      <c r="B7" s="54" t="s">
        <v>143</v>
      </c>
      <c r="C7" s="53" t="s">
        <v>25</v>
      </c>
      <c r="D7" s="53" t="s">
        <v>140</v>
      </c>
      <c r="E7" s="54" t="s">
        <v>144</v>
      </c>
      <c r="F7" s="53" t="s">
        <v>145</v>
      </c>
    </row>
    <row r="8" spans="1:6" ht="32" customHeight="1" x14ac:dyDescent="0.15">
      <c r="A8" s="53">
        <v>6</v>
      </c>
      <c r="B8" s="54" t="s">
        <v>146</v>
      </c>
      <c r="C8" s="53" t="s">
        <v>27</v>
      </c>
      <c r="D8" s="53" t="s">
        <v>140</v>
      </c>
      <c r="E8" s="54" t="s">
        <v>147</v>
      </c>
      <c r="F8" s="53" t="s">
        <v>148</v>
      </c>
    </row>
    <row r="9" spans="1:6" ht="32" customHeight="1" x14ac:dyDescent="0.15">
      <c r="A9" s="55">
        <v>7</v>
      </c>
      <c r="B9" s="56" t="s">
        <v>149</v>
      </c>
      <c r="C9" s="55" t="s">
        <v>34</v>
      </c>
      <c r="D9" s="55" t="s">
        <v>150</v>
      </c>
      <c r="E9" s="56" t="s">
        <v>151</v>
      </c>
      <c r="F9" s="55" t="s">
        <v>152</v>
      </c>
    </row>
    <row r="10" spans="1:6" ht="32" customHeight="1" x14ac:dyDescent="0.15">
      <c r="A10" s="55">
        <v>8</v>
      </c>
      <c r="B10" s="56" t="s">
        <v>153</v>
      </c>
      <c r="C10" s="55" t="s">
        <v>154</v>
      </c>
      <c r="D10" s="55" t="s">
        <v>150</v>
      </c>
      <c r="E10" s="56" t="s">
        <v>155</v>
      </c>
      <c r="F10" s="55" t="s">
        <v>156</v>
      </c>
    </row>
    <row r="11" spans="1:6" ht="32" customHeight="1" x14ac:dyDescent="0.15">
      <c r="A11" s="53">
        <v>9</v>
      </c>
      <c r="B11" s="54" t="s">
        <v>157</v>
      </c>
      <c r="C11" s="53" t="s">
        <v>30</v>
      </c>
      <c r="D11" s="53" t="s">
        <v>140</v>
      </c>
      <c r="E11" s="54" t="s">
        <v>158</v>
      </c>
      <c r="F11" s="53" t="s">
        <v>159</v>
      </c>
    </row>
  </sheetData>
  <autoFilter ref="A2:F2" xr:uid="{00000000-0009-0000-0000-000005000000}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1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 x14ac:dyDescent="0.15"/>
  <cols>
    <col min="1" max="1" width="10" customWidth="1"/>
    <col min="2" max="2" width="34" customWidth="1"/>
    <col min="3" max="3" width="12" customWidth="1"/>
    <col min="4" max="4" width="8" customWidth="1"/>
    <col min="5" max="5" width="36" customWidth="1"/>
  </cols>
  <sheetData>
    <row r="1" spans="1:6" x14ac:dyDescent="0.15">
      <c r="A1" s="84" t="s">
        <v>160</v>
      </c>
      <c r="B1" s="67"/>
      <c r="C1" s="67"/>
      <c r="D1" s="67"/>
      <c r="E1" s="67"/>
    </row>
    <row r="2" spans="1:6" ht="28" customHeight="1" x14ac:dyDescent="0.15">
      <c r="A2" s="9" t="s">
        <v>161</v>
      </c>
      <c r="B2" s="9" t="s">
        <v>162</v>
      </c>
      <c r="C2" s="9" t="s">
        <v>163</v>
      </c>
      <c r="D2" s="9" t="s">
        <v>164</v>
      </c>
      <c r="E2" s="9" t="s">
        <v>165</v>
      </c>
    </row>
    <row r="3" spans="1:6" ht="32" customHeight="1" x14ac:dyDescent="0.15">
      <c r="A3" s="57" t="s">
        <v>166</v>
      </c>
      <c r="B3" s="54" t="s">
        <v>167</v>
      </c>
      <c r="C3" s="53" t="s">
        <v>168</v>
      </c>
      <c r="D3" s="53">
        <v>17</v>
      </c>
      <c r="E3" s="54" t="s">
        <v>169</v>
      </c>
    </row>
    <row r="4" spans="1:6" ht="32" customHeight="1" x14ac:dyDescent="0.15">
      <c r="A4" s="58" t="s">
        <v>170</v>
      </c>
      <c r="B4" s="56" t="s">
        <v>171</v>
      </c>
      <c r="C4" s="55" t="s">
        <v>172</v>
      </c>
      <c r="D4" s="55">
        <v>0</v>
      </c>
      <c r="E4" s="56" t="s">
        <v>173</v>
      </c>
    </row>
    <row r="5" spans="1:6" ht="32" customHeight="1" x14ac:dyDescent="0.15">
      <c r="A5" s="57" t="s">
        <v>174</v>
      </c>
      <c r="B5" s="54" t="s">
        <v>175</v>
      </c>
      <c r="C5" s="53" t="s">
        <v>168</v>
      </c>
      <c r="D5" s="53">
        <v>12</v>
      </c>
      <c r="E5" s="54" t="s">
        <v>176</v>
      </c>
    </row>
    <row r="6" spans="1:6" ht="32" customHeight="1" x14ac:dyDescent="0.15">
      <c r="A6" s="58" t="s">
        <v>177</v>
      </c>
      <c r="B6" s="56" t="s">
        <v>178</v>
      </c>
      <c r="C6" s="55" t="s">
        <v>172</v>
      </c>
      <c r="D6" s="55">
        <v>0</v>
      </c>
      <c r="E6" s="56" t="s">
        <v>173</v>
      </c>
    </row>
    <row r="7" spans="1:6" ht="32" customHeight="1" x14ac:dyDescent="0.15">
      <c r="A7" s="57" t="s">
        <v>179</v>
      </c>
      <c r="B7" s="54" t="s">
        <v>124</v>
      </c>
      <c r="C7" s="53" t="s">
        <v>168</v>
      </c>
      <c r="D7" s="53">
        <v>5</v>
      </c>
      <c r="E7" s="54" t="s">
        <v>180</v>
      </c>
    </row>
    <row r="10" spans="1:6" x14ac:dyDescent="0.15">
      <c r="A10" s="85" t="s">
        <v>181</v>
      </c>
      <c r="B10" s="67"/>
      <c r="C10" s="67"/>
      <c r="D10" s="67"/>
      <c r="E10" s="67"/>
      <c r="F10" s="67"/>
    </row>
    <row r="11" spans="1:6" x14ac:dyDescent="0.15">
      <c r="A11" s="21" t="s">
        <v>42</v>
      </c>
      <c r="B11" s="21" t="s">
        <v>43</v>
      </c>
      <c r="C11" s="21" t="s">
        <v>182</v>
      </c>
      <c r="D11" s="21" t="s">
        <v>44</v>
      </c>
      <c r="E11" s="21" t="s">
        <v>183</v>
      </c>
      <c r="F11" s="21" t="s">
        <v>184</v>
      </c>
    </row>
    <row r="12" spans="1:6" x14ac:dyDescent="0.15">
      <c r="A12" s="59" t="s">
        <v>48</v>
      </c>
      <c r="B12" s="59" t="s">
        <v>49</v>
      </c>
      <c r="C12" s="60" t="s">
        <v>47</v>
      </c>
      <c r="D12" s="60" t="s">
        <v>76</v>
      </c>
      <c r="E12" s="5">
        <v>2</v>
      </c>
      <c r="F12" s="60" t="s">
        <v>185</v>
      </c>
    </row>
    <row r="13" spans="1:6" x14ac:dyDescent="0.15">
      <c r="A13" s="59" t="s">
        <v>48</v>
      </c>
      <c r="B13" s="59" t="s">
        <v>49</v>
      </c>
      <c r="C13" s="60" t="s">
        <v>47</v>
      </c>
      <c r="D13" s="60" t="s">
        <v>51</v>
      </c>
      <c r="E13" s="5">
        <v>2</v>
      </c>
      <c r="F13" s="60" t="s">
        <v>185</v>
      </c>
    </row>
    <row r="14" spans="1:6" x14ac:dyDescent="0.15">
      <c r="A14" s="59" t="s">
        <v>48</v>
      </c>
      <c r="B14" s="59" t="s">
        <v>53</v>
      </c>
      <c r="C14" s="60" t="s">
        <v>52</v>
      </c>
      <c r="D14" s="60" t="s">
        <v>51</v>
      </c>
      <c r="E14" s="5">
        <v>2</v>
      </c>
      <c r="F14" s="60" t="s">
        <v>185</v>
      </c>
    </row>
    <row r="15" spans="1:6" x14ac:dyDescent="0.15">
      <c r="A15" s="59" t="s">
        <v>48</v>
      </c>
      <c r="B15" s="59" t="s">
        <v>53</v>
      </c>
      <c r="C15" s="60" t="s">
        <v>52</v>
      </c>
      <c r="D15" s="60" t="s">
        <v>51</v>
      </c>
      <c r="E15" s="5">
        <v>2</v>
      </c>
      <c r="F15" s="60" t="s">
        <v>185</v>
      </c>
    </row>
    <row r="16" spans="1:6" x14ac:dyDescent="0.15">
      <c r="A16" s="59" t="s">
        <v>55</v>
      </c>
      <c r="B16" s="59" t="s">
        <v>49</v>
      </c>
      <c r="C16" s="60" t="s">
        <v>54</v>
      </c>
      <c r="D16" s="60" t="s">
        <v>76</v>
      </c>
      <c r="E16" s="5">
        <v>2</v>
      </c>
      <c r="F16" s="60" t="s">
        <v>185</v>
      </c>
    </row>
  </sheetData>
  <autoFilter ref="A2:E2" xr:uid="{00000000-0009-0000-0000-000006000000}"/>
  <mergeCells count="2">
    <mergeCell ref="A1:E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95959"/>
  </sheetPr>
  <dimension ref="A1:G2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 x14ac:dyDescent="0.15"/>
  <cols>
    <col min="1" max="1" width="32" customWidth="1"/>
    <col min="2" max="2" width="8" customWidth="1"/>
    <col min="3" max="3" width="6" customWidth="1"/>
    <col min="4" max="4" width="36" customWidth="1"/>
    <col min="5" max="5" width="11" customWidth="1"/>
    <col min="6" max="6" width="14" customWidth="1"/>
    <col min="7" max="7" width="12" customWidth="1"/>
  </cols>
  <sheetData>
    <row r="1" spans="1:7" x14ac:dyDescent="0.15">
      <c r="A1" s="87" t="s">
        <v>186</v>
      </c>
      <c r="B1" s="67"/>
      <c r="C1" s="67"/>
      <c r="D1" s="67"/>
      <c r="E1" s="67"/>
      <c r="F1" s="67"/>
      <c r="G1" s="67"/>
    </row>
    <row r="2" spans="1:7" x14ac:dyDescent="0.15">
      <c r="A2" s="86" t="s">
        <v>187</v>
      </c>
      <c r="B2" s="67"/>
      <c r="C2" s="67"/>
      <c r="D2" s="67"/>
      <c r="E2" s="67"/>
      <c r="F2" s="67"/>
      <c r="G2" s="67"/>
    </row>
    <row r="3" spans="1:7" ht="28" customHeight="1" x14ac:dyDescent="0.15">
      <c r="A3" s="9" t="s">
        <v>41</v>
      </c>
      <c r="B3" s="9" t="s">
        <v>42</v>
      </c>
      <c r="C3" s="9" t="s">
        <v>43</v>
      </c>
      <c r="D3" s="9" t="s">
        <v>44</v>
      </c>
      <c r="E3" s="9" t="s">
        <v>188</v>
      </c>
      <c r="F3" s="9" t="s">
        <v>189</v>
      </c>
      <c r="G3" s="9" t="s">
        <v>190</v>
      </c>
    </row>
    <row r="4" spans="1:7" x14ac:dyDescent="0.15">
      <c r="A4" s="61" t="s">
        <v>47</v>
      </c>
      <c r="B4" s="40" t="s">
        <v>48</v>
      </c>
      <c r="C4" s="40" t="s">
        <v>49</v>
      </c>
      <c r="D4" s="61" t="s">
        <v>50</v>
      </c>
      <c r="E4" s="40">
        <v>23</v>
      </c>
      <c r="F4" s="40">
        <v>3.51</v>
      </c>
      <c r="G4" s="40" t="s">
        <v>191</v>
      </c>
    </row>
    <row r="5" spans="1:7" x14ac:dyDescent="0.15">
      <c r="A5" s="62" t="s">
        <v>47</v>
      </c>
      <c r="B5" s="41" t="s">
        <v>48</v>
      </c>
      <c r="C5" s="41" t="s">
        <v>49</v>
      </c>
      <c r="D5" s="62" t="s">
        <v>51</v>
      </c>
      <c r="E5" s="41">
        <v>22</v>
      </c>
      <c r="F5" s="41">
        <v>3.51</v>
      </c>
      <c r="G5" s="41" t="s">
        <v>191</v>
      </c>
    </row>
    <row r="6" spans="1:7" x14ac:dyDescent="0.15">
      <c r="A6" s="61" t="s">
        <v>52</v>
      </c>
      <c r="B6" s="40" t="s">
        <v>48</v>
      </c>
      <c r="C6" s="40" t="s">
        <v>53</v>
      </c>
      <c r="D6" s="61" t="s">
        <v>51</v>
      </c>
      <c r="E6" s="40">
        <v>75</v>
      </c>
      <c r="F6" s="40">
        <v>3.58</v>
      </c>
      <c r="G6" s="40" t="s">
        <v>192</v>
      </c>
    </row>
    <row r="7" spans="1:7" x14ac:dyDescent="0.15">
      <c r="A7" s="62" t="s">
        <v>54</v>
      </c>
      <c r="B7" s="41" t="s">
        <v>55</v>
      </c>
      <c r="C7" s="41" t="s">
        <v>49</v>
      </c>
      <c r="D7" s="62" t="s">
        <v>50</v>
      </c>
      <c r="E7" s="41">
        <v>25</v>
      </c>
      <c r="F7" s="41">
        <v>3.74</v>
      </c>
      <c r="G7" s="41" t="s">
        <v>193</v>
      </c>
    </row>
    <row r="8" spans="1:7" x14ac:dyDescent="0.15">
      <c r="A8" s="61" t="s">
        <v>56</v>
      </c>
      <c r="B8" s="40" t="s">
        <v>55</v>
      </c>
      <c r="C8" s="40" t="s">
        <v>53</v>
      </c>
      <c r="D8" s="61" t="s">
        <v>50</v>
      </c>
      <c r="E8" s="40">
        <v>28</v>
      </c>
      <c r="F8" s="40">
        <v>4.17</v>
      </c>
      <c r="G8" s="40" t="s">
        <v>194</v>
      </c>
    </row>
    <row r="9" spans="1:7" x14ac:dyDescent="0.15">
      <c r="A9" s="62" t="s">
        <v>57</v>
      </c>
      <c r="B9" s="41" t="s">
        <v>58</v>
      </c>
      <c r="C9" s="41" t="s">
        <v>49</v>
      </c>
      <c r="D9" s="62" t="s">
        <v>59</v>
      </c>
      <c r="E9" s="41">
        <v>1</v>
      </c>
      <c r="F9" s="41">
        <v>4</v>
      </c>
      <c r="G9" s="41" t="s">
        <v>195</v>
      </c>
    </row>
    <row r="10" spans="1:7" x14ac:dyDescent="0.15">
      <c r="A10" s="61" t="s">
        <v>60</v>
      </c>
      <c r="B10" s="40" t="s">
        <v>58</v>
      </c>
      <c r="C10" s="40" t="s">
        <v>53</v>
      </c>
      <c r="D10" s="61" t="s">
        <v>51</v>
      </c>
      <c r="E10" s="40">
        <v>29</v>
      </c>
      <c r="F10" s="40">
        <v>3.82</v>
      </c>
      <c r="G10" s="40" t="s">
        <v>196</v>
      </c>
    </row>
    <row r="11" spans="1:7" x14ac:dyDescent="0.15">
      <c r="A11" s="62" t="s">
        <v>57</v>
      </c>
      <c r="B11" s="41" t="s">
        <v>58</v>
      </c>
      <c r="C11" s="41" t="s">
        <v>53</v>
      </c>
      <c r="D11" s="62" t="s">
        <v>61</v>
      </c>
      <c r="E11" s="41">
        <v>8</v>
      </c>
      <c r="F11" s="41">
        <v>3.82</v>
      </c>
      <c r="G11" s="41" t="s">
        <v>196</v>
      </c>
    </row>
    <row r="12" spans="1:7" x14ac:dyDescent="0.15">
      <c r="A12" s="61" t="s">
        <v>57</v>
      </c>
      <c r="B12" s="40" t="s">
        <v>62</v>
      </c>
      <c r="C12" s="40" t="s">
        <v>49</v>
      </c>
      <c r="D12" s="61" t="s">
        <v>61</v>
      </c>
      <c r="E12" s="40">
        <v>17</v>
      </c>
      <c r="F12" s="40">
        <v>4.5599999999999996</v>
      </c>
      <c r="G12" s="40" t="s">
        <v>197</v>
      </c>
    </row>
    <row r="13" spans="1:7" x14ac:dyDescent="0.15">
      <c r="A13" s="62" t="s">
        <v>63</v>
      </c>
      <c r="B13" s="41" t="s">
        <v>62</v>
      </c>
      <c r="C13" s="41" t="s">
        <v>49</v>
      </c>
      <c r="D13" s="62" t="s">
        <v>64</v>
      </c>
      <c r="E13" s="41">
        <v>21</v>
      </c>
      <c r="F13" s="41">
        <v>4.5599999999999996</v>
      </c>
      <c r="G13" s="41" t="s">
        <v>197</v>
      </c>
    </row>
    <row r="14" spans="1:7" x14ac:dyDescent="0.15">
      <c r="A14" s="61" t="s">
        <v>65</v>
      </c>
      <c r="B14" s="40" t="s">
        <v>62</v>
      </c>
      <c r="C14" s="40" t="s">
        <v>49</v>
      </c>
      <c r="D14" s="61" t="s">
        <v>66</v>
      </c>
      <c r="E14" s="40">
        <v>21</v>
      </c>
      <c r="F14" s="40">
        <v>4.5599999999999996</v>
      </c>
      <c r="G14" s="40" t="s">
        <v>197</v>
      </c>
    </row>
    <row r="15" spans="1:7" x14ac:dyDescent="0.15">
      <c r="A15" s="62" t="s">
        <v>67</v>
      </c>
      <c r="B15" s="41" t="s">
        <v>62</v>
      </c>
      <c r="C15" s="41" t="s">
        <v>49</v>
      </c>
      <c r="D15" s="62" t="s">
        <v>68</v>
      </c>
      <c r="E15" s="41">
        <v>15</v>
      </c>
      <c r="F15" s="41">
        <v>4.5599999999999996</v>
      </c>
      <c r="G15" s="41" t="s">
        <v>197</v>
      </c>
    </row>
    <row r="16" spans="1:7" x14ac:dyDescent="0.15">
      <c r="A16" s="61" t="s">
        <v>60</v>
      </c>
      <c r="B16" s="40" t="s">
        <v>62</v>
      </c>
      <c r="C16" s="40" t="s">
        <v>49</v>
      </c>
      <c r="D16" s="61" t="s">
        <v>69</v>
      </c>
      <c r="E16" s="40">
        <v>21</v>
      </c>
      <c r="F16" s="40">
        <v>4.5599999999999996</v>
      </c>
      <c r="G16" s="40" t="s">
        <v>197</v>
      </c>
    </row>
    <row r="17" spans="1:7" x14ac:dyDescent="0.15">
      <c r="A17" s="62" t="s">
        <v>60</v>
      </c>
      <c r="B17" s="41" t="s">
        <v>62</v>
      </c>
      <c r="C17" s="41" t="s">
        <v>53</v>
      </c>
      <c r="D17" s="62" t="s">
        <v>69</v>
      </c>
      <c r="E17" s="41">
        <v>20</v>
      </c>
      <c r="F17" s="41">
        <v>3.67</v>
      </c>
      <c r="G17" s="41" t="s">
        <v>198</v>
      </c>
    </row>
    <row r="18" spans="1:7" x14ac:dyDescent="0.15">
      <c r="A18" s="61" t="s">
        <v>70</v>
      </c>
      <c r="B18" s="40" t="s">
        <v>71</v>
      </c>
      <c r="C18" s="40" t="s">
        <v>49</v>
      </c>
      <c r="D18" s="61" t="s">
        <v>66</v>
      </c>
      <c r="E18" s="40">
        <v>16</v>
      </c>
      <c r="F18" s="40">
        <v>4.0599999999999996</v>
      </c>
      <c r="G18" s="40" t="s">
        <v>199</v>
      </c>
    </row>
    <row r="19" spans="1:7" x14ac:dyDescent="0.15">
      <c r="A19" s="62" t="s">
        <v>72</v>
      </c>
      <c r="B19" s="41" t="s">
        <v>48</v>
      </c>
      <c r="C19" s="41" t="s">
        <v>53</v>
      </c>
      <c r="D19" s="62" t="s">
        <v>51</v>
      </c>
      <c r="E19" s="41">
        <v>1</v>
      </c>
      <c r="F19" s="41">
        <v>3.58</v>
      </c>
      <c r="G19" s="41" t="s">
        <v>192</v>
      </c>
    </row>
    <row r="20" spans="1:7" x14ac:dyDescent="0.15">
      <c r="A20" s="61" t="s">
        <v>74</v>
      </c>
      <c r="B20" s="40" t="s">
        <v>48</v>
      </c>
      <c r="C20" s="40" t="s">
        <v>53</v>
      </c>
      <c r="D20" s="61" t="s">
        <v>51</v>
      </c>
      <c r="E20" s="40">
        <v>1</v>
      </c>
      <c r="F20" s="40">
        <v>3.58</v>
      </c>
      <c r="G20" s="40" t="s">
        <v>192</v>
      </c>
    </row>
    <row r="21" spans="1:7" x14ac:dyDescent="0.15">
      <c r="A21" s="62" t="s">
        <v>75</v>
      </c>
      <c r="B21" s="41" t="s">
        <v>55</v>
      </c>
      <c r="C21" s="41" t="s">
        <v>49</v>
      </c>
      <c r="D21" s="62" t="s">
        <v>76</v>
      </c>
      <c r="E21" s="41">
        <v>1</v>
      </c>
      <c r="F21" s="41">
        <v>3.74</v>
      </c>
      <c r="G21" s="41" t="s">
        <v>193</v>
      </c>
    </row>
  </sheetData>
  <autoFilter ref="A3:G3" xr:uid="{00000000-0009-0000-0000-000007000000}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496"/>
  </sheetPr>
  <dimension ref="A1:D15"/>
  <sheetViews>
    <sheetView workbookViewId="0"/>
  </sheetViews>
  <sheetFormatPr baseColWidth="10" defaultColWidth="8.83203125" defaultRowHeight="14" x14ac:dyDescent="0.15"/>
  <cols>
    <col min="1" max="1" width="24" customWidth="1"/>
    <col min="2" max="2" width="60" customWidth="1"/>
    <col min="3" max="4" width="10" customWidth="1"/>
  </cols>
  <sheetData>
    <row r="1" spans="1:4" x14ac:dyDescent="0.15">
      <c r="A1" s="89" t="s">
        <v>200</v>
      </c>
      <c r="B1" s="67"/>
      <c r="C1" s="67"/>
      <c r="D1" s="67"/>
    </row>
    <row r="3" spans="1:4" ht="20" customHeight="1" x14ac:dyDescent="0.15">
      <c r="A3" s="63" t="s">
        <v>201</v>
      </c>
      <c r="B3" s="90" t="s">
        <v>202</v>
      </c>
      <c r="C3" s="67"/>
      <c r="D3" s="67"/>
    </row>
    <row r="4" spans="1:4" ht="20" customHeight="1" x14ac:dyDescent="0.15">
      <c r="A4" s="63" t="s">
        <v>79</v>
      </c>
      <c r="B4" s="88" t="s">
        <v>203</v>
      </c>
      <c r="C4" s="67"/>
      <c r="D4" s="67"/>
    </row>
    <row r="5" spans="1:4" ht="20" customHeight="1" x14ac:dyDescent="0.15">
      <c r="A5" s="63" t="s">
        <v>204</v>
      </c>
      <c r="B5" s="90" t="s">
        <v>205</v>
      </c>
      <c r="C5" s="67"/>
      <c r="D5" s="67"/>
    </row>
    <row r="6" spans="1:4" ht="20" customHeight="1" x14ac:dyDescent="0.15">
      <c r="A6" s="63" t="s">
        <v>2</v>
      </c>
      <c r="B6" s="88" t="s">
        <v>206</v>
      </c>
      <c r="C6" s="67"/>
      <c r="D6" s="67"/>
    </row>
    <row r="7" spans="1:4" ht="20" customHeight="1" x14ac:dyDescent="0.15">
      <c r="A7" s="63" t="s">
        <v>207</v>
      </c>
      <c r="B7" s="90" t="s">
        <v>208</v>
      </c>
      <c r="C7" s="67"/>
      <c r="D7" s="67"/>
    </row>
    <row r="8" spans="1:4" ht="20" customHeight="1" x14ac:dyDescent="0.15">
      <c r="A8" s="63" t="s">
        <v>209</v>
      </c>
      <c r="B8" s="88" t="s">
        <v>210</v>
      </c>
      <c r="C8" s="67"/>
      <c r="D8" s="67"/>
    </row>
    <row r="9" spans="1:4" ht="20" customHeight="1" x14ac:dyDescent="0.15">
      <c r="A9" s="63" t="s">
        <v>211</v>
      </c>
      <c r="B9" s="90" t="s">
        <v>212</v>
      </c>
      <c r="C9" s="67"/>
      <c r="D9" s="67"/>
    </row>
    <row r="10" spans="1:4" ht="20" customHeight="1" x14ac:dyDescent="0.15">
      <c r="A10" s="63" t="s">
        <v>213</v>
      </c>
      <c r="B10" s="88" t="s">
        <v>214</v>
      </c>
      <c r="C10" s="67"/>
      <c r="D10" s="67"/>
    </row>
    <row r="11" spans="1:4" ht="20" customHeight="1" x14ac:dyDescent="0.15">
      <c r="A11" s="63" t="s">
        <v>215</v>
      </c>
      <c r="B11" s="90" t="s">
        <v>216</v>
      </c>
      <c r="C11" s="67"/>
      <c r="D11" s="67"/>
    </row>
    <row r="12" spans="1:4" ht="20" customHeight="1" x14ac:dyDescent="0.15">
      <c r="A12" s="63" t="s">
        <v>217</v>
      </c>
      <c r="B12" s="88" t="s">
        <v>218</v>
      </c>
      <c r="C12" s="67"/>
      <c r="D12" s="67"/>
    </row>
    <row r="13" spans="1:4" ht="20" customHeight="1" x14ac:dyDescent="0.15">
      <c r="A13" s="63" t="s">
        <v>219</v>
      </c>
      <c r="B13" s="90" t="s">
        <v>220</v>
      </c>
      <c r="C13" s="67"/>
      <c r="D13" s="67"/>
    </row>
    <row r="14" spans="1:4" ht="20" customHeight="1" x14ac:dyDescent="0.15">
      <c r="A14" s="63" t="s">
        <v>221</v>
      </c>
      <c r="B14" s="88" t="s">
        <v>222</v>
      </c>
      <c r="C14" s="67"/>
      <c r="D14" s="67"/>
    </row>
    <row r="15" spans="1:4" ht="20" customHeight="1" x14ac:dyDescent="0.15">
      <c r="A15" s="63" t="s">
        <v>223</v>
      </c>
      <c r="B15" s="90" t="s">
        <v>224</v>
      </c>
      <c r="C15" s="67"/>
      <c r="D15" s="67"/>
    </row>
  </sheetData>
  <mergeCells count="14">
    <mergeCell ref="B14:D14"/>
    <mergeCell ref="B15:D15"/>
    <mergeCell ref="B8:D8"/>
    <mergeCell ref="B4:D4"/>
    <mergeCell ref="B9:D9"/>
    <mergeCell ref="B13:D13"/>
    <mergeCell ref="B12:D12"/>
    <mergeCell ref="B7:D7"/>
    <mergeCell ref="B6:D6"/>
    <mergeCell ref="B10:D10"/>
    <mergeCell ref="A1:D1"/>
    <mergeCell ref="B11:D11"/>
    <mergeCell ref="B3:D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1_Overview</vt:lpstr>
      <vt:lpstr>2_Subject_Detail</vt:lpstr>
      <vt:lpstr>3_Trend</vt:lpstr>
      <vt:lpstr>4_Gap_Analysis</vt:lpstr>
      <vt:lpstr>5_Special_Care</vt:lpstr>
      <vt:lpstr>6_Recommendations</vt:lpstr>
      <vt:lpstr>7_Integrity_Audit</vt:lpstr>
      <vt:lpstr>8_Raw_Sample</vt:lpstr>
      <vt:lpstr>9_Method_Notes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pumet9505@hotmail.com</cp:lastModifiedBy>
  <dcterms:created xsi:type="dcterms:W3CDTF">2026-05-09T08:59:44Z</dcterms:created>
  <dcterms:modified xsi:type="dcterms:W3CDTF">2026-05-09T09:05:52Z</dcterms:modified>
</cp:coreProperties>
</file>